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hyu\Downloads\"/>
    </mc:Choice>
  </mc:AlternateContent>
  <xr:revisionPtr revIDLastSave="0" documentId="13_ncr:1_{2A2E9453-8319-40A8-8B7B-9D107621960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P57" i="1"/>
  <c r="Q57" i="1"/>
  <c r="P58" i="1"/>
  <c r="Q58" i="1"/>
  <c r="P59" i="1"/>
  <c r="Q59" i="1"/>
  <c r="P60" i="1"/>
  <c r="Q60" i="1"/>
  <c r="P61" i="1"/>
  <c r="Q61" i="1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B9" i="2"/>
  <c r="B8" i="2"/>
  <c r="B3" i="2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5" i="2" l="1"/>
  <c r="Q55" i="1"/>
  <c r="Q51" i="1"/>
  <c r="D91" i="2"/>
  <c r="D112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Q54" i="1"/>
  <c r="D90" i="2" s="1"/>
  <c r="Q52" i="1"/>
  <c r="D88" i="2" s="1"/>
  <c r="Q50" i="1"/>
  <c r="D86" i="2" s="1"/>
  <c r="Q49" i="1"/>
  <c r="D85" i="2" s="1"/>
  <c r="Q48" i="1"/>
  <c r="D84" i="2" s="1"/>
  <c r="Q47" i="1"/>
  <c r="D83" i="2" s="1"/>
  <c r="Q46" i="1"/>
  <c r="D82" i="2" s="1"/>
  <c r="Q44" i="1"/>
  <c r="D80" i="2" s="1"/>
  <c r="Q36" i="1"/>
  <c r="D72" i="2" s="1"/>
  <c r="Q35" i="1"/>
  <c r="D71" i="2" s="1"/>
  <c r="Q33" i="1"/>
  <c r="D69" i="2" s="1"/>
  <c r="Q23" i="1"/>
  <c r="D59" i="2" s="1"/>
  <c r="Q21" i="1"/>
  <c r="D57" i="2" s="1"/>
  <c r="Q20" i="1"/>
  <c r="D56" i="2" s="1"/>
  <c r="Q15" i="1"/>
  <c r="D51" i="2" s="1"/>
  <c r="Q13" i="1"/>
  <c r="D49" i="2" s="1"/>
  <c r="Q34" i="1"/>
  <c r="D70" i="2" s="1"/>
  <c r="Q30" i="1"/>
  <c r="D66" i="2" s="1"/>
  <c r="Q28" i="1"/>
  <c r="D64" i="2" s="1"/>
  <c r="Q26" i="1"/>
  <c r="D62" i="2" s="1"/>
  <c r="Q14" i="1"/>
  <c r="D50" i="2" s="1"/>
  <c r="Q8" i="1"/>
  <c r="D44" i="2" s="1"/>
  <c r="Q5" i="1"/>
  <c r="D41" i="2" s="1"/>
  <c r="D36" i="2"/>
  <c r="D34" i="2"/>
  <c r="D29" i="2"/>
  <c r="D26" i="2"/>
  <c r="D21" i="2"/>
  <c r="Q41" i="1"/>
  <c r="D77" i="2" s="1"/>
  <c r="Q38" i="1"/>
  <c r="D74" i="2" s="1"/>
  <c r="Q32" i="1"/>
  <c r="D68" i="2" s="1"/>
  <c r="Q27" i="1"/>
  <c r="D63" i="2" s="1"/>
  <c r="Q24" i="1"/>
  <c r="D60" i="2" s="1"/>
  <c r="Q19" i="1"/>
  <c r="D55" i="2" s="1"/>
  <c r="Q16" i="1"/>
  <c r="D52" i="2" s="1"/>
  <c r="Q12" i="1"/>
  <c r="D48" i="2" s="1"/>
  <c r="Q11" i="1"/>
  <c r="D47" i="2" s="1"/>
  <c r="Q7" i="1"/>
  <c r="D43" i="2" s="1"/>
  <c r="Q4" i="1"/>
  <c r="D40" i="2" s="1"/>
  <c r="Q3" i="1"/>
  <c r="D39" i="2" s="1"/>
  <c r="Q2" i="1"/>
  <c r="D38" i="2" s="1"/>
  <c r="D37" i="2"/>
  <c r="D33" i="2"/>
  <c r="D30" i="2"/>
  <c r="D24" i="2"/>
  <c r="D20" i="2"/>
  <c r="D16" i="2"/>
  <c r="Q56" i="1"/>
  <c r="D92" i="2" s="1"/>
  <c r="Q45" i="1"/>
  <c r="D81" i="2" s="1"/>
  <c r="Q43" i="1"/>
  <c r="D79" i="2" s="1"/>
  <c r="Q42" i="1"/>
  <c r="D78" i="2" s="1"/>
  <c r="Q40" i="1"/>
  <c r="D76" i="2" s="1"/>
  <c r="Q39" i="1"/>
  <c r="D75" i="2" s="1"/>
  <c r="Q37" i="1"/>
  <c r="D73" i="2" s="1"/>
  <c r="Q29" i="1"/>
  <c r="D65" i="2" s="1"/>
  <c r="Q25" i="1"/>
  <c r="D61" i="2" s="1"/>
  <c r="Q22" i="1"/>
  <c r="D58" i="2" s="1"/>
  <c r="Q18" i="1"/>
  <c r="D54" i="2" s="1"/>
  <c r="Q17" i="1"/>
  <c r="D53" i="2" s="1"/>
  <c r="Q10" i="1"/>
  <c r="D46" i="2" s="1"/>
  <c r="Q6" i="1"/>
  <c r="D42" i="2" s="1"/>
  <c r="D35" i="2"/>
  <c r="D32" i="2"/>
  <c r="D31" i="2"/>
  <c r="D28" i="2"/>
  <c r="D27" i="2"/>
  <c r="D19" i="2"/>
  <c r="D17" i="2"/>
  <c r="D15" i="2"/>
  <c r="D14" i="2"/>
  <c r="D23" i="2"/>
  <c r="D111" i="2"/>
  <c r="Q53" i="1"/>
  <c r="D89" i="2" s="1"/>
  <c r="Q31" i="1"/>
  <c r="D67" i="2" s="1"/>
  <c r="Q9" i="1"/>
  <c r="D45" i="2" s="1"/>
  <c r="D22" i="2"/>
  <c r="D18" i="2" l="1"/>
  <c r="D25" i="2"/>
  <c r="D87" i="2"/>
  <c r="B4" i="2"/>
  <c r="B6" i="2"/>
  <c r="D13" i="2"/>
</calcChain>
</file>

<file path=xl/sharedStrings.xml><?xml version="1.0" encoding="utf-8"?>
<sst xmlns="http://schemas.openxmlformats.org/spreadsheetml/2006/main" count="95" uniqueCount="36">
  <si>
    <t>sample_id</t>
  </si>
  <si>
    <t>hr_fft</t>
  </si>
  <si>
    <t>conf_fft</t>
  </si>
  <si>
    <t>peak_hz</t>
  </si>
  <si>
    <t>peak_ratio</t>
  </si>
  <si>
    <t>k_peaks</t>
  </si>
  <si>
    <t>hr_final</t>
  </si>
  <si>
    <t>conf_final</t>
  </si>
  <si>
    <t>mode</t>
  </si>
  <si>
    <t>s_motion</t>
  </si>
  <si>
    <t>s_freq</t>
  </si>
  <si>
    <t>motion_high</t>
  </si>
  <si>
    <t>freq_bad</t>
  </si>
  <si>
    <t>motion</t>
  </si>
  <si>
    <t>external_hr</t>
  </si>
  <si>
    <t>error_bpm</t>
  </si>
  <si>
    <t>abs_error_bpm</t>
  </si>
  <si>
    <t>FREQ</t>
  </si>
  <si>
    <t>No Motion Final HR Performance Analysis</t>
  </si>
  <si>
    <t>Notes</t>
  </si>
  <si>
    <t>Metric</t>
  </si>
  <si>
    <t>Value</t>
  </si>
  <si>
    <t>Error is calculated as Final HR minus External HR.</t>
  </si>
  <si>
    <t>Samples</t>
  </si>
  <si>
    <t>Absolute error is the absolute difference between Final HR and External HR.</t>
  </si>
  <si>
    <t>MAE (BPM)</t>
  </si>
  <si>
    <t>Hold Mode (%) is based on rows where mode = 0.</t>
  </si>
  <si>
    <t>RMSE (BPM)</t>
  </si>
  <si>
    <t>Max Error (BPM)</t>
  </si>
  <si>
    <t>HR Std Dev (BPM)</t>
  </si>
  <si>
    <t>Hold Mode (%)</t>
  </si>
  <si>
    <t>Mean Confidence</t>
  </si>
  <si>
    <t>Sample</t>
  </si>
  <si>
    <t>External HR</t>
  </si>
  <si>
    <t>Final HR</t>
  </si>
  <si>
    <t>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</si>
</sst>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1" fillId="5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Final HR vs External HR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External HR</c:v>
          </c:tx>
          <c:cat>
            <c:numRef>
              <c:f>Summary!$A$13:$A$112</c:f>
              <c:numCache>
                <c:formatCode>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Summary!$B$13:$B$112</c:f>
              <c:numCache>
                <c:formatCode>0.00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90</c:v>
                </c:pt>
                <c:pt idx="26">
                  <c:v>90</c:v>
                </c:pt>
                <c:pt idx="27">
                  <c:v>92</c:v>
                </c:pt>
                <c:pt idx="28">
                  <c:v>92</c:v>
                </c:pt>
                <c:pt idx="29">
                  <c:v>93</c:v>
                </c:pt>
                <c:pt idx="30">
                  <c:v>93</c:v>
                </c:pt>
                <c:pt idx="31">
                  <c:v>93</c:v>
                </c:pt>
                <c:pt idx="32">
                  <c:v>93</c:v>
                </c:pt>
                <c:pt idx="33">
                  <c:v>93</c:v>
                </c:pt>
                <c:pt idx="34">
                  <c:v>93</c:v>
                </c:pt>
                <c:pt idx="35">
                  <c:v>91</c:v>
                </c:pt>
                <c:pt idx="36">
                  <c:v>90</c:v>
                </c:pt>
                <c:pt idx="37">
                  <c:v>90</c:v>
                </c:pt>
                <c:pt idx="38">
                  <c:v>92</c:v>
                </c:pt>
                <c:pt idx="39">
                  <c:v>92</c:v>
                </c:pt>
                <c:pt idx="40">
                  <c:v>94</c:v>
                </c:pt>
                <c:pt idx="41">
                  <c:v>94</c:v>
                </c:pt>
                <c:pt idx="42">
                  <c:v>94</c:v>
                </c:pt>
                <c:pt idx="43">
                  <c:v>94</c:v>
                </c:pt>
                <c:pt idx="44">
                  <c:v>94</c:v>
                </c:pt>
                <c:pt idx="45">
                  <c:v>94</c:v>
                </c:pt>
                <c:pt idx="46">
                  <c:v>95</c:v>
                </c:pt>
                <c:pt idx="47">
                  <c:v>95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95</c:v>
                </c:pt>
                <c:pt idx="54">
                  <c:v>95</c:v>
                </c:pt>
                <c:pt idx="55">
                  <c:v>94</c:v>
                </c:pt>
                <c:pt idx="56">
                  <c:v>94</c:v>
                </c:pt>
                <c:pt idx="57">
                  <c:v>93</c:v>
                </c:pt>
                <c:pt idx="58">
                  <c:v>93</c:v>
                </c:pt>
                <c:pt idx="59">
                  <c:v>94</c:v>
                </c:pt>
                <c:pt idx="60">
                  <c:v>94</c:v>
                </c:pt>
                <c:pt idx="61">
                  <c:v>95</c:v>
                </c:pt>
                <c:pt idx="62">
                  <c:v>95</c:v>
                </c:pt>
                <c:pt idx="63">
                  <c:v>95</c:v>
                </c:pt>
                <c:pt idx="64">
                  <c:v>95</c:v>
                </c:pt>
                <c:pt idx="65">
                  <c:v>92</c:v>
                </c:pt>
                <c:pt idx="66">
                  <c:v>92</c:v>
                </c:pt>
                <c:pt idx="67">
                  <c:v>90</c:v>
                </c:pt>
                <c:pt idx="68">
                  <c:v>90</c:v>
                </c:pt>
                <c:pt idx="69">
                  <c:v>89</c:v>
                </c:pt>
                <c:pt idx="70">
                  <c:v>90</c:v>
                </c:pt>
                <c:pt idx="71">
                  <c:v>90</c:v>
                </c:pt>
                <c:pt idx="72">
                  <c:v>91</c:v>
                </c:pt>
                <c:pt idx="73">
                  <c:v>91</c:v>
                </c:pt>
                <c:pt idx="74">
                  <c:v>94</c:v>
                </c:pt>
                <c:pt idx="75">
                  <c:v>94</c:v>
                </c:pt>
                <c:pt idx="76">
                  <c:v>94</c:v>
                </c:pt>
                <c:pt idx="77">
                  <c:v>94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94</c:v>
                </c:pt>
                <c:pt idx="83">
                  <c:v>94</c:v>
                </c:pt>
                <c:pt idx="84">
                  <c:v>95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E-4659-840D-12D4C06FD054}"/>
            </c:ext>
          </c:extLst>
        </c:ser>
        <c:ser>
          <c:idx val="1"/>
          <c:order val="1"/>
          <c:tx>
            <c:v>Final HR</c:v>
          </c:tx>
          <c:cat>
            <c:numRef>
              <c:f>Summary!$A$13:$A$112</c:f>
              <c:numCache>
                <c:formatCode>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Summary!$C$13:$C$112</c:f>
              <c:numCache>
                <c:formatCode>0.00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88.7</c:v>
                </c:pt>
                <c:pt idx="26">
                  <c:v>90.4</c:v>
                </c:pt>
                <c:pt idx="27">
                  <c:v>91.7</c:v>
                </c:pt>
                <c:pt idx="28">
                  <c:v>92.3</c:v>
                </c:pt>
                <c:pt idx="29">
                  <c:v>92.4</c:v>
                </c:pt>
                <c:pt idx="30">
                  <c:v>92.6</c:v>
                </c:pt>
                <c:pt idx="31">
                  <c:v>93.2</c:v>
                </c:pt>
                <c:pt idx="32">
                  <c:v>93.4</c:v>
                </c:pt>
                <c:pt idx="33">
                  <c:v>92.9</c:v>
                </c:pt>
                <c:pt idx="34">
                  <c:v>92</c:v>
                </c:pt>
                <c:pt idx="35">
                  <c:v>90.2</c:v>
                </c:pt>
                <c:pt idx="36">
                  <c:v>90.4</c:v>
                </c:pt>
                <c:pt idx="37">
                  <c:v>91</c:v>
                </c:pt>
                <c:pt idx="38">
                  <c:v>92.1</c:v>
                </c:pt>
                <c:pt idx="39">
                  <c:v>93.1</c:v>
                </c:pt>
                <c:pt idx="40">
                  <c:v>93.6</c:v>
                </c:pt>
                <c:pt idx="41">
                  <c:v>93.9</c:v>
                </c:pt>
                <c:pt idx="42">
                  <c:v>93.8</c:v>
                </c:pt>
                <c:pt idx="43">
                  <c:v>93.1</c:v>
                </c:pt>
                <c:pt idx="44">
                  <c:v>92.7</c:v>
                </c:pt>
                <c:pt idx="45">
                  <c:v>93.2</c:v>
                </c:pt>
                <c:pt idx="46">
                  <c:v>94</c:v>
                </c:pt>
                <c:pt idx="47">
                  <c:v>94.5</c:v>
                </c:pt>
                <c:pt idx="48">
                  <c:v>94.9</c:v>
                </c:pt>
                <c:pt idx="49">
                  <c:v>95.2</c:v>
                </c:pt>
                <c:pt idx="50">
                  <c:v>95.2</c:v>
                </c:pt>
                <c:pt idx="51">
                  <c:v>94.9</c:v>
                </c:pt>
                <c:pt idx="52">
                  <c:v>95</c:v>
                </c:pt>
                <c:pt idx="53">
                  <c:v>95</c:v>
                </c:pt>
                <c:pt idx="54">
                  <c:v>94.5</c:v>
                </c:pt>
                <c:pt idx="55">
                  <c:v>93.6</c:v>
                </c:pt>
                <c:pt idx="56">
                  <c:v>92.8</c:v>
                </c:pt>
                <c:pt idx="57">
                  <c:v>92.6</c:v>
                </c:pt>
                <c:pt idx="58">
                  <c:v>93.2</c:v>
                </c:pt>
                <c:pt idx="59">
                  <c:v>94.3</c:v>
                </c:pt>
                <c:pt idx="60">
                  <c:v>94.8</c:v>
                </c:pt>
                <c:pt idx="61">
                  <c:v>94.1</c:v>
                </c:pt>
                <c:pt idx="62">
                  <c:v>93.9</c:v>
                </c:pt>
                <c:pt idx="63">
                  <c:v>94</c:v>
                </c:pt>
                <c:pt idx="64">
                  <c:v>93.1</c:v>
                </c:pt>
                <c:pt idx="65">
                  <c:v>91.2</c:v>
                </c:pt>
                <c:pt idx="66">
                  <c:v>89.8</c:v>
                </c:pt>
                <c:pt idx="67">
                  <c:v>89.5</c:v>
                </c:pt>
                <c:pt idx="68">
                  <c:v>89.9</c:v>
                </c:pt>
                <c:pt idx="69">
                  <c:v>90.1</c:v>
                </c:pt>
                <c:pt idx="70">
                  <c:v>88.8</c:v>
                </c:pt>
                <c:pt idx="71">
                  <c:v>89.4</c:v>
                </c:pt>
                <c:pt idx="72">
                  <c:v>90.7</c:v>
                </c:pt>
                <c:pt idx="73">
                  <c:v>91.7</c:v>
                </c:pt>
                <c:pt idx="74">
                  <c:v>92.3</c:v>
                </c:pt>
                <c:pt idx="75">
                  <c:v>92.9</c:v>
                </c:pt>
                <c:pt idx="76">
                  <c:v>93.5</c:v>
                </c:pt>
                <c:pt idx="77">
                  <c:v>93.6</c:v>
                </c:pt>
                <c:pt idx="78">
                  <c:v>93.2</c:v>
                </c:pt>
                <c:pt idx="79">
                  <c:v>92.5</c:v>
                </c:pt>
                <c:pt idx="80">
                  <c:v>92.4</c:v>
                </c:pt>
                <c:pt idx="81">
                  <c:v>92.5</c:v>
                </c:pt>
                <c:pt idx="82">
                  <c:v>92.9</c:v>
                </c:pt>
                <c:pt idx="83">
                  <c:v>93.7</c:v>
                </c:pt>
                <c:pt idx="84">
                  <c:v>94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E-4659-840D-12D4C06FD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Absolute Error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External HR</c:v>
          </c:tx>
          <c:cat>
            <c:numRef>
              <c:f>Summary!$A$13:$A$112</c:f>
              <c:numCache>
                <c:formatCode>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Summary!$B$13:$B$112</c:f>
              <c:numCache>
                <c:formatCode>0.00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90</c:v>
                </c:pt>
                <c:pt idx="26">
                  <c:v>90</c:v>
                </c:pt>
                <c:pt idx="27">
                  <c:v>92</c:v>
                </c:pt>
                <c:pt idx="28">
                  <c:v>92</c:v>
                </c:pt>
                <c:pt idx="29">
                  <c:v>93</c:v>
                </c:pt>
                <c:pt idx="30">
                  <c:v>93</c:v>
                </c:pt>
                <c:pt idx="31">
                  <c:v>93</c:v>
                </c:pt>
                <c:pt idx="32">
                  <c:v>93</c:v>
                </c:pt>
                <c:pt idx="33">
                  <c:v>93</c:v>
                </c:pt>
                <c:pt idx="34">
                  <c:v>93</c:v>
                </c:pt>
                <c:pt idx="35">
                  <c:v>91</c:v>
                </c:pt>
                <c:pt idx="36">
                  <c:v>90</c:v>
                </c:pt>
                <c:pt idx="37">
                  <c:v>90</c:v>
                </c:pt>
                <c:pt idx="38">
                  <c:v>92</c:v>
                </c:pt>
                <c:pt idx="39">
                  <c:v>92</c:v>
                </c:pt>
                <c:pt idx="40">
                  <c:v>94</c:v>
                </c:pt>
                <c:pt idx="41">
                  <c:v>94</c:v>
                </c:pt>
                <c:pt idx="42">
                  <c:v>94</c:v>
                </c:pt>
                <c:pt idx="43">
                  <c:v>94</c:v>
                </c:pt>
                <c:pt idx="44">
                  <c:v>94</c:v>
                </c:pt>
                <c:pt idx="45">
                  <c:v>94</c:v>
                </c:pt>
                <c:pt idx="46">
                  <c:v>95</c:v>
                </c:pt>
                <c:pt idx="47">
                  <c:v>95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95</c:v>
                </c:pt>
                <c:pt idx="54">
                  <c:v>95</c:v>
                </c:pt>
                <c:pt idx="55">
                  <c:v>94</c:v>
                </c:pt>
                <c:pt idx="56">
                  <c:v>94</c:v>
                </c:pt>
                <c:pt idx="57">
                  <c:v>93</c:v>
                </c:pt>
                <c:pt idx="58">
                  <c:v>93</c:v>
                </c:pt>
                <c:pt idx="59">
                  <c:v>94</c:v>
                </c:pt>
                <c:pt idx="60">
                  <c:v>94</c:v>
                </c:pt>
                <c:pt idx="61">
                  <c:v>95</c:v>
                </c:pt>
                <c:pt idx="62">
                  <c:v>95</c:v>
                </c:pt>
                <c:pt idx="63">
                  <c:v>95</c:v>
                </c:pt>
                <c:pt idx="64">
                  <c:v>95</c:v>
                </c:pt>
                <c:pt idx="65">
                  <c:v>92</c:v>
                </c:pt>
                <c:pt idx="66">
                  <c:v>92</c:v>
                </c:pt>
                <c:pt idx="67">
                  <c:v>90</c:v>
                </c:pt>
                <c:pt idx="68">
                  <c:v>90</c:v>
                </c:pt>
                <c:pt idx="69">
                  <c:v>89</c:v>
                </c:pt>
                <c:pt idx="70">
                  <c:v>90</c:v>
                </c:pt>
                <c:pt idx="71">
                  <c:v>90</c:v>
                </c:pt>
                <c:pt idx="72">
                  <c:v>91</c:v>
                </c:pt>
                <c:pt idx="73">
                  <c:v>91</c:v>
                </c:pt>
                <c:pt idx="74">
                  <c:v>94</c:v>
                </c:pt>
                <c:pt idx="75">
                  <c:v>94</c:v>
                </c:pt>
                <c:pt idx="76">
                  <c:v>94</c:v>
                </c:pt>
                <c:pt idx="77">
                  <c:v>94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94</c:v>
                </c:pt>
                <c:pt idx="83">
                  <c:v>94</c:v>
                </c:pt>
                <c:pt idx="84">
                  <c:v>95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1-4F1C-9F26-6E60AAC4EEE7}"/>
            </c:ext>
          </c:extLst>
        </c:ser>
        <c:ser>
          <c:idx val="1"/>
          <c:order val="1"/>
          <c:tx>
            <c:v>Final HR</c:v>
          </c:tx>
          <c:cat>
            <c:numRef>
              <c:f>Summary!$A$13:$A$112</c:f>
              <c:numCache>
                <c:formatCode>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Summary!$C$13:$C$112</c:f>
              <c:numCache>
                <c:formatCode>0.00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88.7</c:v>
                </c:pt>
                <c:pt idx="26">
                  <c:v>90.4</c:v>
                </c:pt>
                <c:pt idx="27">
                  <c:v>91.7</c:v>
                </c:pt>
                <c:pt idx="28">
                  <c:v>92.3</c:v>
                </c:pt>
                <c:pt idx="29">
                  <c:v>92.4</c:v>
                </c:pt>
                <c:pt idx="30">
                  <c:v>92.6</c:v>
                </c:pt>
                <c:pt idx="31">
                  <c:v>93.2</c:v>
                </c:pt>
                <c:pt idx="32">
                  <c:v>93.4</c:v>
                </c:pt>
                <c:pt idx="33">
                  <c:v>92.9</c:v>
                </c:pt>
                <c:pt idx="34">
                  <c:v>92</c:v>
                </c:pt>
                <c:pt idx="35">
                  <c:v>90.2</c:v>
                </c:pt>
                <c:pt idx="36">
                  <c:v>90.4</c:v>
                </c:pt>
                <c:pt idx="37">
                  <c:v>91</c:v>
                </c:pt>
                <c:pt idx="38">
                  <c:v>92.1</c:v>
                </c:pt>
                <c:pt idx="39">
                  <c:v>93.1</c:v>
                </c:pt>
                <c:pt idx="40">
                  <c:v>93.6</c:v>
                </c:pt>
                <c:pt idx="41">
                  <c:v>93.9</c:v>
                </c:pt>
                <c:pt idx="42">
                  <c:v>93.8</c:v>
                </c:pt>
                <c:pt idx="43">
                  <c:v>93.1</c:v>
                </c:pt>
                <c:pt idx="44">
                  <c:v>92.7</c:v>
                </c:pt>
                <c:pt idx="45">
                  <c:v>93.2</c:v>
                </c:pt>
                <c:pt idx="46">
                  <c:v>94</c:v>
                </c:pt>
                <c:pt idx="47">
                  <c:v>94.5</c:v>
                </c:pt>
                <c:pt idx="48">
                  <c:v>94.9</c:v>
                </c:pt>
                <c:pt idx="49">
                  <c:v>95.2</c:v>
                </c:pt>
                <c:pt idx="50">
                  <c:v>95.2</c:v>
                </c:pt>
                <c:pt idx="51">
                  <c:v>94.9</c:v>
                </c:pt>
                <c:pt idx="52">
                  <c:v>95</c:v>
                </c:pt>
                <c:pt idx="53">
                  <c:v>95</c:v>
                </c:pt>
                <c:pt idx="54">
                  <c:v>94.5</c:v>
                </c:pt>
                <c:pt idx="55">
                  <c:v>93.6</c:v>
                </c:pt>
                <c:pt idx="56">
                  <c:v>92.8</c:v>
                </c:pt>
                <c:pt idx="57">
                  <c:v>92.6</c:v>
                </c:pt>
                <c:pt idx="58">
                  <c:v>93.2</c:v>
                </c:pt>
                <c:pt idx="59">
                  <c:v>94.3</c:v>
                </c:pt>
                <c:pt idx="60">
                  <c:v>94.8</c:v>
                </c:pt>
                <c:pt idx="61">
                  <c:v>94.1</c:v>
                </c:pt>
                <c:pt idx="62">
                  <c:v>93.9</c:v>
                </c:pt>
                <c:pt idx="63">
                  <c:v>94</c:v>
                </c:pt>
                <c:pt idx="64">
                  <c:v>93.1</c:v>
                </c:pt>
                <c:pt idx="65">
                  <c:v>91.2</c:v>
                </c:pt>
                <c:pt idx="66">
                  <c:v>89.8</c:v>
                </c:pt>
                <c:pt idx="67">
                  <c:v>89.5</c:v>
                </c:pt>
                <c:pt idx="68">
                  <c:v>89.9</c:v>
                </c:pt>
                <c:pt idx="69">
                  <c:v>90.1</c:v>
                </c:pt>
                <c:pt idx="70">
                  <c:v>88.8</c:v>
                </c:pt>
                <c:pt idx="71">
                  <c:v>89.4</c:v>
                </c:pt>
                <c:pt idx="72">
                  <c:v>90.7</c:v>
                </c:pt>
                <c:pt idx="73">
                  <c:v>91.7</c:v>
                </c:pt>
                <c:pt idx="74">
                  <c:v>92.3</c:v>
                </c:pt>
                <c:pt idx="75">
                  <c:v>92.9</c:v>
                </c:pt>
                <c:pt idx="76">
                  <c:v>93.5</c:v>
                </c:pt>
                <c:pt idx="77">
                  <c:v>93.6</c:v>
                </c:pt>
                <c:pt idx="78">
                  <c:v>93.2</c:v>
                </c:pt>
                <c:pt idx="79">
                  <c:v>92.5</c:v>
                </c:pt>
                <c:pt idx="80">
                  <c:v>92.4</c:v>
                </c:pt>
                <c:pt idx="81">
                  <c:v>92.5</c:v>
                </c:pt>
                <c:pt idx="82">
                  <c:v>92.9</c:v>
                </c:pt>
                <c:pt idx="83">
                  <c:v>93.7</c:v>
                </c:pt>
                <c:pt idx="84">
                  <c:v>94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1-4F1C-9F26-6E60AAC4EEE7}"/>
            </c:ext>
          </c:extLst>
        </c:ser>
        <c:ser>
          <c:idx val="2"/>
          <c:order val="2"/>
          <c:tx>
            <c:v>Absolute Error</c:v>
          </c:tx>
          <c:cat>
            <c:numRef>
              <c:f>Summary!$A$13:$A$112</c:f>
              <c:numCache>
                <c:formatCode>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Summary!$D$13:$D$112</c:f>
              <c:numCache>
                <c:formatCode>0.00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1.2999999999999972</c:v>
                </c:pt>
                <c:pt idx="26">
                  <c:v>0.40000000000000568</c:v>
                </c:pt>
                <c:pt idx="27">
                  <c:v>0.29999999999999716</c:v>
                </c:pt>
                <c:pt idx="28">
                  <c:v>0.29999999999999716</c:v>
                </c:pt>
                <c:pt idx="29">
                  <c:v>0.59999999999999432</c:v>
                </c:pt>
                <c:pt idx="30">
                  <c:v>0.40000000000000568</c:v>
                </c:pt>
                <c:pt idx="31">
                  <c:v>0.20000000000000284</c:v>
                </c:pt>
                <c:pt idx="32">
                  <c:v>0.40000000000000568</c:v>
                </c:pt>
                <c:pt idx="33">
                  <c:v>9.9999999999994316E-2</c:v>
                </c:pt>
                <c:pt idx="34">
                  <c:v>1</c:v>
                </c:pt>
                <c:pt idx="35">
                  <c:v>0.79999999999999716</c:v>
                </c:pt>
                <c:pt idx="36">
                  <c:v>0.40000000000000568</c:v>
                </c:pt>
                <c:pt idx="37">
                  <c:v>1</c:v>
                </c:pt>
                <c:pt idx="38">
                  <c:v>9.9999999999994316E-2</c:v>
                </c:pt>
                <c:pt idx="39">
                  <c:v>1.0999999999999943</c:v>
                </c:pt>
                <c:pt idx="40">
                  <c:v>0.40000000000000568</c:v>
                </c:pt>
                <c:pt idx="41">
                  <c:v>9.9999999999994316E-2</c:v>
                </c:pt>
                <c:pt idx="42">
                  <c:v>0.20000000000000284</c:v>
                </c:pt>
                <c:pt idx="43">
                  <c:v>0.90000000000000568</c:v>
                </c:pt>
                <c:pt idx="44">
                  <c:v>1.2999999999999972</c:v>
                </c:pt>
                <c:pt idx="45">
                  <c:v>0.79999999999999716</c:v>
                </c:pt>
                <c:pt idx="46">
                  <c:v>1</c:v>
                </c:pt>
                <c:pt idx="47">
                  <c:v>0.5</c:v>
                </c:pt>
                <c:pt idx="48">
                  <c:v>1.0999999999999943</c:v>
                </c:pt>
                <c:pt idx="49">
                  <c:v>0.79999999999999716</c:v>
                </c:pt>
                <c:pt idx="50">
                  <c:v>0.79999999999999716</c:v>
                </c:pt>
                <c:pt idx="51">
                  <c:v>1.0999999999999943</c:v>
                </c:pt>
                <c:pt idx="52">
                  <c:v>1</c:v>
                </c:pt>
                <c:pt idx="53">
                  <c:v>0</c:v>
                </c:pt>
                <c:pt idx="54">
                  <c:v>0.5</c:v>
                </c:pt>
                <c:pt idx="55">
                  <c:v>0.40000000000000568</c:v>
                </c:pt>
                <c:pt idx="56">
                  <c:v>1.2000000000000028</c:v>
                </c:pt>
                <c:pt idx="57">
                  <c:v>0.40000000000000568</c:v>
                </c:pt>
                <c:pt idx="58">
                  <c:v>0.20000000000000284</c:v>
                </c:pt>
                <c:pt idx="59">
                  <c:v>0.29999999999999716</c:v>
                </c:pt>
                <c:pt idx="60">
                  <c:v>0.79999999999999716</c:v>
                </c:pt>
                <c:pt idx="61">
                  <c:v>0.90000000000000568</c:v>
                </c:pt>
                <c:pt idx="62">
                  <c:v>1.0999999999999943</c:v>
                </c:pt>
                <c:pt idx="63">
                  <c:v>1</c:v>
                </c:pt>
                <c:pt idx="64">
                  <c:v>1.9000000000000057</c:v>
                </c:pt>
                <c:pt idx="65">
                  <c:v>0.79999999999999716</c:v>
                </c:pt>
                <c:pt idx="66">
                  <c:v>2.2000000000000028</c:v>
                </c:pt>
                <c:pt idx="67">
                  <c:v>0.5</c:v>
                </c:pt>
                <c:pt idx="68">
                  <c:v>9.9999999999994316E-2</c:v>
                </c:pt>
                <c:pt idx="69">
                  <c:v>1.0999999999999943</c:v>
                </c:pt>
                <c:pt idx="70">
                  <c:v>1.2000000000000028</c:v>
                </c:pt>
                <c:pt idx="71">
                  <c:v>0.59999999999999432</c:v>
                </c:pt>
                <c:pt idx="72">
                  <c:v>0.29999999999999716</c:v>
                </c:pt>
                <c:pt idx="73">
                  <c:v>0.70000000000000284</c:v>
                </c:pt>
                <c:pt idx="74">
                  <c:v>1.7000000000000028</c:v>
                </c:pt>
                <c:pt idx="75">
                  <c:v>1.0999999999999943</c:v>
                </c:pt>
                <c:pt idx="76">
                  <c:v>0.5</c:v>
                </c:pt>
                <c:pt idx="77">
                  <c:v>0.40000000000000568</c:v>
                </c:pt>
                <c:pt idx="78">
                  <c:v>0.20000000000000284</c:v>
                </c:pt>
                <c:pt idx="79">
                  <c:v>0.5</c:v>
                </c:pt>
                <c:pt idx="80">
                  <c:v>0.59999999999999432</c:v>
                </c:pt>
                <c:pt idx="81">
                  <c:v>0.5</c:v>
                </c:pt>
                <c:pt idx="82">
                  <c:v>1.0999999999999943</c:v>
                </c:pt>
                <c:pt idx="83">
                  <c:v>0.29999999999999716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F1-4F1C-9F26-6E60AAC4E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MotionDataTable" displayName="NoMotionDataTable" ref="A1:Q61">
  <tableColumns count="17">
    <tableColumn id="1" xr3:uid="{00000000-0010-0000-0000-000001000000}" name="sample_id"/>
    <tableColumn id="2" xr3:uid="{00000000-0010-0000-0000-000002000000}" name="hr_fft"/>
    <tableColumn id="3" xr3:uid="{00000000-0010-0000-0000-000003000000}" name="conf_fft"/>
    <tableColumn id="4" xr3:uid="{00000000-0010-0000-0000-000004000000}" name="peak_hz"/>
    <tableColumn id="5" xr3:uid="{00000000-0010-0000-0000-000005000000}" name="peak_ratio"/>
    <tableColumn id="6" xr3:uid="{00000000-0010-0000-0000-000006000000}" name="k_peaks"/>
    <tableColumn id="7" xr3:uid="{00000000-0010-0000-0000-000007000000}" name="hr_final"/>
    <tableColumn id="8" xr3:uid="{00000000-0010-0000-0000-000008000000}" name="conf_final"/>
    <tableColumn id="9" xr3:uid="{00000000-0010-0000-0000-000009000000}" name="mode"/>
    <tableColumn id="10" xr3:uid="{00000000-0010-0000-0000-00000A000000}" name="s_motion"/>
    <tableColumn id="11" xr3:uid="{00000000-0010-0000-0000-00000B000000}" name="s_freq"/>
    <tableColumn id="12" xr3:uid="{00000000-0010-0000-0000-00000C000000}" name="motion_high"/>
    <tableColumn id="13" xr3:uid="{00000000-0010-0000-0000-00000D000000}" name="freq_bad"/>
    <tableColumn id="14" xr3:uid="{00000000-0010-0000-0000-00000E000000}" name="motion"/>
    <tableColumn id="15" xr3:uid="{00000000-0010-0000-0000-00000F000000}" name="external_hr"/>
    <tableColumn id="16" xr3:uid="{00000000-0010-0000-0000-000010000000}" name="error_bpm"/>
    <tableColumn id="17" xr3:uid="{00000000-0010-0000-0000-000011000000}" name="abs_error_bp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opLeftCell="A26" workbookViewId="0">
      <selection activeCell="J8" sqref="J8"/>
    </sheetView>
  </sheetViews>
  <sheetFormatPr defaultRowHeight="14"/>
  <cols>
    <col min="1" max="1" width="8.33203125" customWidth="1"/>
    <col min="2" max="2" width="4.4140625" customWidth="1"/>
    <col min="3" max="3" width="6.33203125" customWidth="1"/>
    <col min="4" max="4" width="6.75" customWidth="1"/>
    <col min="5" max="5" width="8.75" customWidth="1"/>
    <col min="6" max="6" width="6.58203125" customWidth="1"/>
    <col min="7" max="7" width="6.33203125" customWidth="1"/>
    <col min="8" max="8" width="8.08203125" customWidth="1"/>
    <col min="9" max="9" width="4.6640625" customWidth="1"/>
    <col min="10" max="10" width="7.6640625" customWidth="1"/>
    <col min="11" max="11" width="5.08203125" customWidth="1"/>
    <col min="12" max="12" width="10.33203125" customWidth="1"/>
    <col min="13" max="13" width="7.4140625" customWidth="1"/>
    <col min="14" max="14" width="5.9140625" customWidth="1"/>
    <col min="15" max="15" width="9.4140625" customWidth="1"/>
    <col min="16" max="16" width="8.75" customWidth="1"/>
    <col min="17" max="17" width="12.5" customWidth="1"/>
  </cols>
  <sheetData>
    <row r="1" spans="1:17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">
      <c r="A2" s="2">
        <v>471</v>
      </c>
      <c r="B2" s="2">
        <v>88.7</v>
      </c>
      <c r="C2" s="2">
        <v>0.9</v>
      </c>
      <c r="D2" s="2">
        <v>1.5249999999999999</v>
      </c>
      <c r="E2" s="2">
        <v>2.97</v>
      </c>
      <c r="F2" s="2">
        <v>8</v>
      </c>
      <c r="G2" s="2">
        <v>88.7</v>
      </c>
      <c r="H2" s="2">
        <v>0.89</v>
      </c>
      <c r="I2" s="2" t="s">
        <v>17</v>
      </c>
      <c r="J2" s="2">
        <v>0.98</v>
      </c>
      <c r="K2" s="2">
        <v>0.89</v>
      </c>
      <c r="L2" s="2">
        <v>0</v>
      </c>
      <c r="M2" s="2">
        <v>0</v>
      </c>
      <c r="N2" s="2">
        <v>154.1</v>
      </c>
      <c r="O2" s="2">
        <v>90</v>
      </c>
      <c r="P2" s="2">
        <f t="shared" ref="P2:P8" si="0">G2-O2</f>
        <v>-1.2999999999999972</v>
      </c>
      <c r="Q2" s="2">
        <f t="shared" ref="Q2:Q8" si="1">ABS(P2)</f>
        <v>1.2999999999999972</v>
      </c>
    </row>
    <row r="3" spans="1:17" ht="28">
      <c r="A3" s="2">
        <v>472</v>
      </c>
      <c r="B3" s="2">
        <v>90.4</v>
      </c>
      <c r="C3" s="2">
        <v>0.94</v>
      </c>
      <c r="D3" s="2">
        <v>1.546</v>
      </c>
      <c r="E3" s="2">
        <v>3.08</v>
      </c>
      <c r="F3" s="2">
        <v>8</v>
      </c>
      <c r="G3" s="2">
        <v>90.4</v>
      </c>
      <c r="H3" s="2">
        <v>0.91</v>
      </c>
      <c r="I3" s="2" t="s">
        <v>17</v>
      </c>
      <c r="J3" s="2">
        <v>0.98</v>
      </c>
      <c r="K3" s="2">
        <v>0.91</v>
      </c>
      <c r="L3" s="2">
        <v>0</v>
      </c>
      <c r="M3" s="2">
        <v>0</v>
      </c>
      <c r="N3" s="2">
        <v>154.30000000000001</v>
      </c>
      <c r="O3" s="2">
        <v>90</v>
      </c>
      <c r="P3" s="2">
        <f t="shared" si="0"/>
        <v>0.40000000000000568</v>
      </c>
      <c r="Q3" s="2">
        <f t="shared" si="1"/>
        <v>0.40000000000000568</v>
      </c>
    </row>
    <row r="4" spans="1:17" ht="28">
      <c r="A4" s="2">
        <v>473</v>
      </c>
      <c r="B4" s="2">
        <v>91.7</v>
      </c>
      <c r="C4" s="2">
        <v>0.97</v>
      </c>
      <c r="D4" s="2">
        <v>1.5589999999999999</v>
      </c>
      <c r="E4" s="2">
        <v>3.21</v>
      </c>
      <c r="F4" s="2">
        <v>8</v>
      </c>
      <c r="G4" s="2">
        <v>91.7</v>
      </c>
      <c r="H4" s="2">
        <v>0.96</v>
      </c>
      <c r="I4" s="2" t="s">
        <v>17</v>
      </c>
      <c r="J4" s="2">
        <v>0.98</v>
      </c>
      <c r="K4" s="2">
        <v>0.96</v>
      </c>
      <c r="L4" s="2">
        <v>0</v>
      </c>
      <c r="M4" s="2">
        <v>0</v>
      </c>
      <c r="N4" s="2">
        <v>231.4</v>
      </c>
      <c r="O4" s="2">
        <v>92</v>
      </c>
      <c r="P4" s="2">
        <f t="shared" si="0"/>
        <v>-0.29999999999999716</v>
      </c>
      <c r="Q4" s="2">
        <f t="shared" si="1"/>
        <v>0.29999999999999716</v>
      </c>
    </row>
    <row r="5" spans="1:17" ht="28">
      <c r="A5" s="2">
        <v>474</v>
      </c>
      <c r="B5" s="2">
        <v>92.3</v>
      </c>
      <c r="C5" s="2">
        <v>1</v>
      </c>
      <c r="D5" s="2">
        <v>1.5489999999999999</v>
      </c>
      <c r="E5" s="2">
        <v>3.29</v>
      </c>
      <c r="F5" s="2">
        <v>8</v>
      </c>
      <c r="G5" s="2">
        <v>92.3</v>
      </c>
      <c r="H5" s="2">
        <v>1</v>
      </c>
      <c r="I5" s="2" t="s">
        <v>17</v>
      </c>
      <c r="J5" s="2">
        <v>0.97</v>
      </c>
      <c r="K5" s="2">
        <v>1</v>
      </c>
      <c r="L5" s="2">
        <v>0</v>
      </c>
      <c r="M5" s="2">
        <v>0</v>
      </c>
      <c r="N5" s="2">
        <v>283.2</v>
      </c>
      <c r="O5" s="2">
        <v>92</v>
      </c>
      <c r="P5" s="2">
        <f t="shared" si="0"/>
        <v>0.29999999999999716</v>
      </c>
      <c r="Q5" s="2">
        <f t="shared" si="1"/>
        <v>0.29999999999999716</v>
      </c>
    </row>
    <row r="6" spans="1:17" ht="28">
      <c r="A6" s="2">
        <v>475</v>
      </c>
      <c r="B6" s="2">
        <v>92.4</v>
      </c>
      <c r="C6" s="2">
        <v>1</v>
      </c>
      <c r="D6" s="2">
        <v>1.54</v>
      </c>
      <c r="E6" s="2">
        <v>3.41</v>
      </c>
      <c r="F6" s="2">
        <v>8</v>
      </c>
      <c r="G6" s="2">
        <v>92.4</v>
      </c>
      <c r="H6" s="2">
        <v>1</v>
      </c>
      <c r="I6" s="2" t="s">
        <v>17</v>
      </c>
      <c r="J6" s="2">
        <v>0.97</v>
      </c>
      <c r="K6" s="2">
        <v>1</v>
      </c>
      <c r="L6" s="2">
        <v>0</v>
      </c>
      <c r="M6" s="2">
        <v>0</v>
      </c>
      <c r="N6" s="2">
        <v>311.39999999999998</v>
      </c>
      <c r="O6" s="2">
        <v>93</v>
      </c>
      <c r="P6" s="2">
        <f t="shared" si="0"/>
        <v>-0.59999999999999432</v>
      </c>
      <c r="Q6" s="2">
        <f t="shared" si="1"/>
        <v>0.59999999999999432</v>
      </c>
    </row>
    <row r="7" spans="1:17" ht="28">
      <c r="A7" s="2">
        <v>476</v>
      </c>
      <c r="B7" s="2">
        <v>92.6</v>
      </c>
      <c r="C7" s="2">
        <v>1</v>
      </c>
      <c r="D7" s="2">
        <v>1.5529999999999999</v>
      </c>
      <c r="E7" s="2">
        <v>3.52</v>
      </c>
      <c r="F7" s="2">
        <v>8</v>
      </c>
      <c r="G7" s="2">
        <v>92.6</v>
      </c>
      <c r="H7" s="2">
        <v>0.94</v>
      </c>
      <c r="I7" s="2" t="s">
        <v>17</v>
      </c>
      <c r="J7" s="2">
        <v>0.97</v>
      </c>
      <c r="K7" s="2">
        <v>0.94</v>
      </c>
      <c r="L7" s="2">
        <v>0</v>
      </c>
      <c r="M7" s="2">
        <v>0</v>
      </c>
      <c r="N7" s="2">
        <v>289</v>
      </c>
      <c r="O7" s="2">
        <v>93</v>
      </c>
      <c r="P7" s="2">
        <f t="shared" si="0"/>
        <v>-0.40000000000000568</v>
      </c>
      <c r="Q7" s="2">
        <f t="shared" si="1"/>
        <v>0.40000000000000568</v>
      </c>
    </row>
    <row r="8" spans="1:17" ht="28">
      <c r="A8" s="2">
        <v>477</v>
      </c>
      <c r="B8" s="2">
        <v>93.2</v>
      </c>
      <c r="C8" s="2">
        <v>1</v>
      </c>
      <c r="D8" s="2">
        <v>1.57</v>
      </c>
      <c r="E8" s="2">
        <v>3.4</v>
      </c>
      <c r="F8" s="2">
        <v>8</v>
      </c>
      <c r="G8" s="2">
        <v>93.2</v>
      </c>
      <c r="H8" s="2">
        <v>0.99</v>
      </c>
      <c r="I8" s="2" t="s">
        <v>17</v>
      </c>
      <c r="J8" s="2">
        <v>0.97</v>
      </c>
      <c r="K8" s="2">
        <v>0.99</v>
      </c>
      <c r="L8" s="2">
        <v>0</v>
      </c>
      <c r="M8" s="2">
        <v>0</v>
      </c>
      <c r="N8" s="2">
        <v>338</v>
      </c>
      <c r="O8" s="2">
        <v>93</v>
      </c>
      <c r="P8" s="2">
        <f t="shared" si="0"/>
        <v>0.20000000000000284</v>
      </c>
      <c r="Q8" s="2">
        <f t="shared" si="1"/>
        <v>0.20000000000000284</v>
      </c>
    </row>
    <row r="9" spans="1:17" ht="28">
      <c r="A9" s="2">
        <v>478</v>
      </c>
      <c r="B9" s="2">
        <v>93.4</v>
      </c>
      <c r="C9" s="2">
        <v>0.94</v>
      </c>
      <c r="D9" s="2">
        <v>1.5580000000000001</v>
      </c>
      <c r="E9" s="2">
        <v>3.1</v>
      </c>
      <c r="F9" s="2">
        <v>8</v>
      </c>
      <c r="G9" s="2">
        <v>93.4</v>
      </c>
      <c r="H9" s="2">
        <v>0.92</v>
      </c>
      <c r="I9" s="2" t="s">
        <v>17</v>
      </c>
      <c r="J9" s="2">
        <v>0.96</v>
      </c>
      <c r="K9" s="2">
        <v>0.92</v>
      </c>
      <c r="L9" s="2">
        <v>0</v>
      </c>
      <c r="M9" s="2">
        <v>0</v>
      </c>
      <c r="N9" s="2">
        <v>447.4</v>
      </c>
      <c r="O9" s="2">
        <v>93</v>
      </c>
      <c r="P9" s="2">
        <f t="shared" ref="P9:P40" si="2">G9-O9</f>
        <v>0.40000000000000568</v>
      </c>
      <c r="Q9" s="2">
        <f t="shared" ref="Q9:Q40" si="3">ABS(P9)</f>
        <v>0.40000000000000568</v>
      </c>
    </row>
    <row r="10" spans="1:17" ht="28">
      <c r="A10" s="2">
        <v>479</v>
      </c>
      <c r="B10" s="2">
        <v>92.9</v>
      </c>
      <c r="C10" s="2">
        <v>0.92</v>
      </c>
      <c r="D10" s="2">
        <v>1.532</v>
      </c>
      <c r="E10" s="2">
        <v>3.05</v>
      </c>
      <c r="F10" s="2">
        <v>8</v>
      </c>
      <c r="G10" s="2">
        <v>92.9</v>
      </c>
      <c r="H10" s="2">
        <v>0.9</v>
      </c>
      <c r="I10" s="2" t="s">
        <v>17</v>
      </c>
      <c r="J10" s="2">
        <v>0.95</v>
      </c>
      <c r="K10" s="2">
        <v>0.9</v>
      </c>
      <c r="L10" s="2">
        <v>0</v>
      </c>
      <c r="M10" s="2">
        <v>0</v>
      </c>
      <c r="N10" s="2">
        <v>516.20000000000005</v>
      </c>
      <c r="O10" s="2">
        <v>93</v>
      </c>
      <c r="P10" s="2">
        <f t="shared" si="2"/>
        <v>-9.9999999999994316E-2</v>
      </c>
      <c r="Q10" s="2">
        <f t="shared" si="3"/>
        <v>9.9999999999994316E-2</v>
      </c>
    </row>
    <row r="11" spans="1:17" ht="28">
      <c r="A11" s="2">
        <v>480</v>
      </c>
      <c r="B11" s="2">
        <v>92</v>
      </c>
      <c r="C11" s="2">
        <v>0.9</v>
      </c>
      <c r="D11" s="2">
        <v>1.51</v>
      </c>
      <c r="E11" s="2">
        <v>2.95</v>
      </c>
      <c r="F11" s="2">
        <v>8</v>
      </c>
      <c r="G11" s="2">
        <v>92</v>
      </c>
      <c r="H11" s="2">
        <v>0.86</v>
      </c>
      <c r="I11" s="2" t="s">
        <v>17</v>
      </c>
      <c r="J11" s="2">
        <v>0.96</v>
      </c>
      <c r="K11" s="2">
        <v>0.86</v>
      </c>
      <c r="L11" s="2">
        <v>0</v>
      </c>
      <c r="M11" s="2">
        <v>0</v>
      </c>
      <c r="N11" s="2">
        <v>406.9</v>
      </c>
      <c r="O11" s="2">
        <v>93</v>
      </c>
      <c r="P11" s="2">
        <f t="shared" si="2"/>
        <v>-1</v>
      </c>
      <c r="Q11" s="2">
        <f t="shared" si="3"/>
        <v>1</v>
      </c>
    </row>
    <row r="12" spans="1:17" ht="28">
      <c r="A12" s="2">
        <v>482</v>
      </c>
      <c r="B12" s="2">
        <v>90.2</v>
      </c>
      <c r="C12" s="2">
        <v>0.77</v>
      </c>
      <c r="D12" s="2">
        <v>1.494</v>
      </c>
      <c r="E12" s="2">
        <v>2.5299999999999998</v>
      </c>
      <c r="F12" s="2">
        <v>8</v>
      </c>
      <c r="G12" s="2">
        <v>90.2</v>
      </c>
      <c r="H12" s="2">
        <v>0.76</v>
      </c>
      <c r="I12" s="2" t="s">
        <v>17</v>
      </c>
      <c r="J12" s="2">
        <v>0.96</v>
      </c>
      <c r="K12" s="2">
        <v>0.76</v>
      </c>
      <c r="L12" s="2">
        <v>0</v>
      </c>
      <c r="M12" s="2">
        <v>0</v>
      </c>
      <c r="N12" s="2">
        <v>356.5</v>
      </c>
      <c r="O12" s="2">
        <v>91</v>
      </c>
      <c r="P12" s="2">
        <f t="shared" si="2"/>
        <v>-0.79999999999999716</v>
      </c>
      <c r="Q12" s="2">
        <f t="shared" si="3"/>
        <v>0.79999999999999716</v>
      </c>
    </row>
    <row r="13" spans="1:17" ht="28">
      <c r="A13" s="2">
        <v>483</v>
      </c>
      <c r="B13" s="2">
        <v>90.4</v>
      </c>
      <c r="C13" s="2">
        <v>0.85</v>
      </c>
      <c r="D13" s="2">
        <v>1.514</v>
      </c>
      <c r="E13" s="2">
        <v>2.8</v>
      </c>
      <c r="F13" s="2">
        <v>8</v>
      </c>
      <c r="G13" s="2">
        <v>90.4</v>
      </c>
      <c r="H13" s="2">
        <v>0.77</v>
      </c>
      <c r="I13" s="2" t="s">
        <v>17</v>
      </c>
      <c r="J13" s="2">
        <v>0.97</v>
      </c>
      <c r="K13" s="2">
        <v>0.77</v>
      </c>
      <c r="L13" s="2">
        <v>0</v>
      </c>
      <c r="M13" s="2">
        <v>0</v>
      </c>
      <c r="N13" s="2">
        <v>345.2</v>
      </c>
      <c r="O13" s="2">
        <v>90</v>
      </c>
      <c r="P13" s="2">
        <f t="shared" si="2"/>
        <v>0.40000000000000568</v>
      </c>
      <c r="Q13" s="2">
        <f t="shared" si="3"/>
        <v>0.40000000000000568</v>
      </c>
    </row>
    <row r="14" spans="1:17" ht="28">
      <c r="A14" s="2">
        <v>484</v>
      </c>
      <c r="B14" s="2">
        <v>91</v>
      </c>
      <c r="C14" s="2">
        <v>0.91</v>
      </c>
      <c r="D14" s="2">
        <v>1.536</v>
      </c>
      <c r="E14" s="2">
        <v>2.99</v>
      </c>
      <c r="F14" s="2">
        <v>8</v>
      </c>
      <c r="G14" s="2">
        <v>91</v>
      </c>
      <c r="H14" s="2">
        <v>0.74</v>
      </c>
      <c r="I14" s="2" t="s">
        <v>17</v>
      </c>
      <c r="J14" s="2">
        <v>0.98</v>
      </c>
      <c r="K14" s="2">
        <v>0.74</v>
      </c>
      <c r="L14" s="2">
        <v>0</v>
      </c>
      <c r="M14" s="2">
        <v>0</v>
      </c>
      <c r="N14" s="2">
        <v>173.4</v>
      </c>
      <c r="O14" s="2">
        <v>90</v>
      </c>
      <c r="P14" s="2">
        <f t="shared" si="2"/>
        <v>1</v>
      </c>
      <c r="Q14" s="2">
        <f t="shared" si="3"/>
        <v>1</v>
      </c>
    </row>
    <row r="15" spans="1:17" ht="28">
      <c r="A15" s="2">
        <v>485</v>
      </c>
      <c r="B15" s="2">
        <v>92.1</v>
      </c>
      <c r="C15" s="2">
        <v>0.96</v>
      </c>
      <c r="D15" s="2">
        <v>1.5649999999999999</v>
      </c>
      <c r="E15" s="2">
        <v>3.15</v>
      </c>
      <c r="F15" s="2">
        <v>8</v>
      </c>
      <c r="G15" s="2">
        <v>92.1</v>
      </c>
      <c r="H15" s="2">
        <v>0.87</v>
      </c>
      <c r="I15" s="2" t="s">
        <v>17</v>
      </c>
      <c r="J15" s="2">
        <v>0.98</v>
      </c>
      <c r="K15" s="2">
        <v>0.87</v>
      </c>
      <c r="L15" s="2">
        <v>0</v>
      </c>
      <c r="M15" s="2">
        <v>0</v>
      </c>
      <c r="N15" s="2">
        <v>211.6</v>
      </c>
      <c r="O15" s="2">
        <v>92</v>
      </c>
      <c r="P15" s="2">
        <f t="shared" si="2"/>
        <v>9.9999999999994316E-2</v>
      </c>
      <c r="Q15" s="2">
        <f t="shared" si="3"/>
        <v>9.9999999999994316E-2</v>
      </c>
    </row>
    <row r="16" spans="1:17" ht="28">
      <c r="A16" s="2">
        <v>486</v>
      </c>
      <c r="B16" s="2">
        <v>93.1</v>
      </c>
      <c r="C16" s="2">
        <v>0.97</v>
      </c>
      <c r="D16" s="2">
        <v>1.573</v>
      </c>
      <c r="E16" s="2">
        <v>3.21</v>
      </c>
      <c r="F16" s="2">
        <v>8</v>
      </c>
      <c r="G16" s="2">
        <v>93.1</v>
      </c>
      <c r="H16" s="2">
        <v>0.82</v>
      </c>
      <c r="I16" s="2" t="s">
        <v>17</v>
      </c>
      <c r="J16" s="2">
        <v>0.97</v>
      </c>
      <c r="K16" s="2">
        <v>0.82</v>
      </c>
      <c r="L16" s="2">
        <v>0</v>
      </c>
      <c r="M16" s="2">
        <v>0</v>
      </c>
      <c r="N16" s="2">
        <v>323.89999999999998</v>
      </c>
      <c r="O16" s="2">
        <v>92</v>
      </c>
      <c r="P16" s="2">
        <f t="shared" si="2"/>
        <v>1.0999999999999943</v>
      </c>
      <c r="Q16" s="2">
        <f t="shared" si="3"/>
        <v>1.0999999999999943</v>
      </c>
    </row>
    <row r="17" spans="1:17" ht="28">
      <c r="A17" s="2">
        <v>487</v>
      </c>
      <c r="B17" s="2">
        <v>93.6</v>
      </c>
      <c r="C17" s="2">
        <v>1</v>
      </c>
      <c r="D17" s="2">
        <v>1.57</v>
      </c>
      <c r="E17" s="2">
        <v>3.35</v>
      </c>
      <c r="F17" s="2">
        <v>8</v>
      </c>
      <c r="G17" s="2">
        <v>93.6</v>
      </c>
      <c r="H17" s="2">
        <v>0.93</v>
      </c>
      <c r="I17" s="2" t="s">
        <v>17</v>
      </c>
      <c r="J17" s="2">
        <v>0.96</v>
      </c>
      <c r="K17" s="2">
        <v>0.93</v>
      </c>
      <c r="L17" s="2">
        <v>0</v>
      </c>
      <c r="M17" s="2">
        <v>0</v>
      </c>
      <c r="N17" s="2">
        <v>380.1</v>
      </c>
      <c r="O17" s="2">
        <v>94</v>
      </c>
      <c r="P17" s="2">
        <f t="shared" si="2"/>
        <v>-0.40000000000000568</v>
      </c>
      <c r="Q17" s="2">
        <f t="shared" si="3"/>
        <v>0.40000000000000568</v>
      </c>
    </row>
    <row r="18" spans="1:17" ht="28">
      <c r="A18" s="2">
        <v>488</v>
      </c>
      <c r="B18" s="2">
        <v>93.9</v>
      </c>
      <c r="C18" s="2">
        <v>1</v>
      </c>
      <c r="D18" s="2">
        <v>1.571</v>
      </c>
      <c r="E18" s="2">
        <v>3.44</v>
      </c>
      <c r="F18" s="2">
        <v>8</v>
      </c>
      <c r="G18" s="2">
        <v>93.9</v>
      </c>
      <c r="H18" s="2">
        <v>0.96</v>
      </c>
      <c r="I18" s="2" t="s">
        <v>17</v>
      </c>
      <c r="J18" s="2">
        <v>0.96</v>
      </c>
      <c r="K18" s="2">
        <v>0.96</v>
      </c>
      <c r="L18" s="2">
        <v>0</v>
      </c>
      <c r="M18" s="2">
        <v>0</v>
      </c>
      <c r="N18" s="2">
        <v>367.6</v>
      </c>
      <c r="O18" s="2">
        <v>94</v>
      </c>
      <c r="P18" s="2">
        <f t="shared" si="2"/>
        <v>-9.9999999999994316E-2</v>
      </c>
      <c r="Q18" s="2">
        <f t="shared" si="3"/>
        <v>9.9999999999994316E-2</v>
      </c>
    </row>
    <row r="19" spans="1:17" ht="28">
      <c r="A19" s="2">
        <v>489</v>
      </c>
      <c r="B19" s="2">
        <v>93.8</v>
      </c>
      <c r="C19" s="2">
        <v>1</v>
      </c>
      <c r="D19" s="2">
        <v>1.5569999999999999</v>
      </c>
      <c r="E19" s="2">
        <v>3.32</v>
      </c>
      <c r="F19" s="2">
        <v>8</v>
      </c>
      <c r="G19" s="2">
        <v>93.8</v>
      </c>
      <c r="H19" s="2">
        <v>0.96</v>
      </c>
      <c r="I19" s="2" t="s">
        <v>17</v>
      </c>
      <c r="J19" s="2">
        <v>0.97</v>
      </c>
      <c r="K19" s="2">
        <v>0.96</v>
      </c>
      <c r="L19" s="2">
        <v>0</v>
      </c>
      <c r="M19" s="2">
        <v>0</v>
      </c>
      <c r="N19" s="2">
        <v>334.7</v>
      </c>
      <c r="O19" s="2">
        <v>94</v>
      </c>
      <c r="P19" s="2">
        <f t="shared" si="2"/>
        <v>-0.20000000000000284</v>
      </c>
      <c r="Q19" s="2">
        <f t="shared" si="3"/>
        <v>0.20000000000000284</v>
      </c>
    </row>
    <row r="20" spans="1:17" ht="28">
      <c r="A20" s="2">
        <v>490</v>
      </c>
      <c r="B20" s="2">
        <v>93.1</v>
      </c>
      <c r="C20" s="2">
        <v>0.98</v>
      </c>
      <c r="D20" s="2">
        <v>1.5329999999999999</v>
      </c>
      <c r="E20" s="2">
        <v>3.25</v>
      </c>
      <c r="F20" s="2">
        <v>8</v>
      </c>
      <c r="G20" s="2">
        <v>93.1</v>
      </c>
      <c r="H20" s="2">
        <v>0.93</v>
      </c>
      <c r="I20" s="2" t="s">
        <v>17</v>
      </c>
      <c r="J20" s="2">
        <v>0.97</v>
      </c>
      <c r="K20" s="2">
        <v>0.93</v>
      </c>
      <c r="L20" s="2">
        <v>0</v>
      </c>
      <c r="M20" s="2">
        <v>0</v>
      </c>
      <c r="N20" s="2">
        <v>299.3</v>
      </c>
      <c r="O20" s="2">
        <v>94</v>
      </c>
      <c r="P20" s="2">
        <f t="shared" si="2"/>
        <v>-0.90000000000000568</v>
      </c>
      <c r="Q20" s="2">
        <f t="shared" si="3"/>
        <v>0.90000000000000568</v>
      </c>
    </row>
    <row r="21" spans="1:17" ht="28">
      <c r="A21" s="2">
        <v>491</v>
      </c>
      <c r="B21" s="2">
        <v>92.7</v>
      </c>
      <c r="C21" s="2">
        <v>0.96</v>
      </c>
      <c r="D21" s="2">
        <v>1.54</v>
      </c>
      <c r="E21" s="2">
        <v>3.15</v>
      </c>
      <c r="F21" s="2">
        <v>8</v>
      </c>
      <c r="G21" s="2">
        <v>92.7</v>
      </c>
      <c r="H21" s="2">
        <v>0.91</v>
      </c>
      <c r="I21" s="2" t="s">
        <v>17</v>
      </c>
      <c r="J21" s="2">
        <v>0.97</v>
      </c>
      <c r="K21" s="2">
        <v>0.91</v>
      </c>
      <c r="L21" s="2">
        <v>0</v>
      </c>
      <c r="M21" s="2">
        <v>0</v>
      </c>
      <c r="N21" s="2">
        <v>276.2</v>
      </c>
      <c r="O21" s="2">
        <v>94</v>
      </c>
      <c r="P21" s="2">
        <f t="shared" si="2"/>
        <v>-1.2999999999999972</v>
      </c>
      <c r="Q21" s="2">
        <f t="shared" si="3"/>
        <v>1.2999999999999972</v>
      </c>
    </row>
    <row r="22" spans="1:17" ht="28">
      <c r="A22" s="2">
        <v>492</v>
      </c>
      <c r="B22" s="2">
        <v>93.2</v>
      </c>
      <c r="C22" s="2">
        <v>0.94</v>
      </c>
      <c r="D22" s="2">
        <v>1.5720000000000001</v>
      </c>
      <c r="E22" s="2">
        <v>3.08</v>
      </c>
      <c r="F22" s="2">
        <v>8</v>
      </c>
      <c r="G22" s="2">
        <v>93.2</v>
      </c>
      <c r="H22" s="2">
        <v>0.88</v>
      </c>
      <c r="I22" s="2" t="s">
        <v>17</v>
      </c>
      <c r="J22" s="2">
        <v>0.95</v>
      </c>
      <c r="K22" s="2">
        <v>0.88</v>
      </c>
      <c r="L22" s="2">
        <v>0</v>
      </c>
      <c r="M22" s="2">
        <v>0</v>
      </c>
      <c r="N22" s="2">
        <v>455.1</v>
      </c>
      <c r="O22" s="2">
        <v>94</v>
      </c>
      <c r="P22" s="2">
        <f t="shared" si="2"/>
        <v>-0.79999999999999716</v>
      </c>
      <c r="Q22" s="2">
        <f t="shared" si="3"/>
        <v>0.79999999999999716</v>
      </c>
    </row>
    <row r="23" spans="1:17" ht="28">
      <c r="A23" s="2">
        <v>493</v>
      </c>
      <c r="B23" s="2">
        <v>94</v>
      </c>
      <c r="C23" s="2">
        <v>0.8</v>
      </c>
      <c r="D23" s="2">
        <v>1.5860000000000001</v>
      </c>
      <c r="E23" s="2">
        <v>2.64</v>
      </c>
      <c r="F23" s="2">
        <v>8</v>
      </c>
      <c r="G23" s="2">
        <v>94</v>
      </c>
      <c r="H23" s="2">
        <v>0.8</v>
      </c>
      <c r="I23" s="2" t="s">
        <v>17</v>
      </c>
      <c r="J23" s="2">
        <v>0.98</v>
      </c>
      <c r="K23" s="2">
        <v>0.8</v>
      </c>
      <c r="L23" s="2">
        <v>0</v>
      </c>
      <c r="M23" s="2">
        <v>0</v>
      </c>
      <c r="N23" s="2">
        <v>235.4</v>
      </c>
      <c r="O23" s="2">
        <v>95</v>
      </c>
      <c r="P23" s="2">
        <f t="shared" si="2"/>
        <v>-1</v>
      </c>
      <c r="Q23" s="2">
        <f t="shared" si="3"/>
        <v>1</v>
      </c>
    </row>
    <row r="24" spans="1:17" ht="28">
      <c r="A24" s="2">
        <v>494</v>
      </c>
      <c r="B24" s="2">
        <v>94.5</v>
      </c>
      <c r="C24" s="2">
        <v>0.71</v>
      </c>
      <c r="D24" s="2">
        <v>1.5860000000000001</v>
      </c>
      <c r="E24" s="2">
        <v>2.3199999999999998</v>
      </c>
      <c r="F24" s="2">
        <v>8</v>
      </c>
      <c r="G24" s="2">
        <v>94.5</v>
      </c>
      <c r="H24" s="2">
        <v>0.66</v>
      </c>
      <c r="I24" s="2" t="s">
        <v>17</v>
      </c>
      <c r="J24" s="2">
        <v>0.98</v>
      </c>
      <c r="K24" s="2">
        <v>0.66</v>
      </c>
      <c r="L24" s="2">
        <v>0</v>
      </c>
      <c r="M24" s="2">
        <v>0</v>
      </c>
      <c r="N24" s="2">
        <v>233.6</v>
      </c>
      <c r="O24" s="2">
        <v>95</v>
      </c>
      <c r="P24" s="2">
        <f t="shared" si="2"/>
        <v>-0.5</v>
      </c>
      <c r="Q24" s="2">
        <f t="shared" si="3"/>
        <v>0.5</v>
      </c>
    </row>
    <row r="25" spans="1:17" ht="28">
      <c r="A25" s="2">
        <v>498</v>
      </c>
      <c r="B25" s="2">
        <v>94.9</v>
      </c>
      <c r="C25" s="2">
        <v>0.77</v>
      </c>
      <c r="D25" s="2">
        <v>1.59</v>
      </c>
      <c r="E25" s="2">
        <v>2.52</v>
      </c>
      <c r="F25" s="2">
        <v>8</v>
      </c>
      <c r="G25" s="2">
        <v>94.9</v>
      </c>
      <c r="H25" s="2">
        <v>0.7</v>
      </c>
      <c r="I25" s="2" t="s">
        <v>17</v>
      </c>
      <c r="J25" s="2">
        <v>0.97</v>
      </c>
      <c r="K25" s="2">
        <v>0.7</v>
      </c>
      <c r="L25" s="2">
        <v>0</v>
      </c>
      <c r="M25" s="2">
        <v>0</v>
      </c>
      <c r="N25" s="2">
        <v>300.10000000000002</v>
      </c>
      <c r="O25" s="2">
        <v>96</v>
      </c>
      <c r="P25" s="2">
        <f t="shared" si="2"/>
        <v>-1.0999999999999943</v>
      </c>
      <c r="Q25" s="2">
        <f t="shared" si="3"/>
        <v>1.0999999999999943</v>
      </c>
    </row>
    <row r="26" spans="1:17" ht="28">
      <c r="A26" s="2">
        <v>499</v>
      </c>
      <c r="B26" s="2">
        <v>95.2</v>
      </c>
      <c r="C26" s="2">
        <v>0.89</v>
      </c>
      <c r="D26" s="2">
        <v>1.593</v>
      </c>
      <c r="E26" s="2">
        <v>2.92</v>
      </c>
      <c r="F26" s="2">
        <v>8</v>
      </c>
      <c r="G26" s="2">
        <v>95.2</v>
      </c>
      <c r="H26" s="2">
        <v>0.8</v>
      </c>
      <c r="I26" s="2" t="s">
        <v>17</v>
      </c>
      <c r="J26" s="2">
        <v>0.97</v>
      </c>
      <c r="K26" s="2">
        <v>0.8</v>
      </c>
      <c r="L26" s="2">
        <v>0</v>
      </c>
      <c r="M26" s="2">
        <v>0</v>
      </c>
      <c r="N26" s="2">
        <v>252.2</v>
      </c>
      <c r="O26" s="2">
        <v>96</v>
      </c>
      <c r="P26" s="2">
        <f t="shared" si="2"/>
        <v>-0.79999999999999716</v>
      </c>
      <c r="Q26" s="2">
        <f t="shared" si="3"/>
        <v>0.79999999999999716</v>
      </c>
    </row>
    <row r="27" spans="1:17" ht="28">
      <c r="A27" s="2">
        <v>500</v>
      </c>
      <c r="B27" s="2">
        <v>95.2</v>
      </c>
      <c r="C27" s="2">
        <v>0.93</v>
      </c>
      <c r="D27" s="2">
        <v>1.5840000000000001</v>
      </c>
      <c r="E27" s="2">
        <v>3.07</v>
      </c>
      <c r="F27" s="2">
        <v>8</v>
      </c>
      <c r="G27" s="2">
        <v>95.2</v>
      </c>
      <c r="H27" s="2">
        <v>0.73</v>
      </c>
      <c r="I27" s="2" t="s">
        <v>17</v>
      </c>
      <c r="J27" s="2">
        <v>0.98</v>
      </c>
      <c r="K27" s="2">
        <v>0.73</v>
      </c>
      <c r="L27" s="2">
        <v>0</v>
      </c>
      <c r="M27" s="2">
        <v>0</v>
      </c>
      <c r="N27" s="2">
        <v>228.9</v>
      </c>
      <c r="O27" s="2">
        <v>96</v>
      </c>
      <c r="P27" s="2">
        <f t="shared" si="2"/>
        <v>-0.79999999999999716</v>
      </c>
      <c r="Q27" s="2">
        <f t="shared" si="3"/>
        <v>0.79999999999999716</v>
      </c>
    </row>
    <row r="28" spans="1:17" ht="28">
      <c r="A28" s="2">
        <v>501</v>
      </c>
      <c r="B28" s="2">
        <v>94.9</v>
      </c>
      <c r="C28" s="2">
        <v>0.9</v>
      </c>
      <c r="D28" s="2">
        <v>1.5760000000000001</v>
      </c>
      <c r="E28" s="2">
        <v>2.96</v>
      </c>
      <c r="F28" s="2">
        <v>8</v>
      </c>
      <c r="G28" s="2">
        <v>94.9</v>
      </c>
      <c r="H28" s="2">
        <v>0.72</v>
      </c>
      <c r="I28" s="2" t="s">
        <v>17</v>
      </c>
      <c r="J28" s="2">
        <v>0.97</v>
      </c>
      <c r="K28" s="2">
        <v>0.72</v>
      </c>
      <c r="L28" s="2">
        <v>0</v>
      </c>
      <c r="M28" s="2">
        <v>0</v>
      </c>
      <c r="N28" s="2">
        <v>265.5</v>
      </c>
      <c r="O28" s="2">
        <v>96</v>
      </c>
      <c r="P28" s="2">
        <f t="shared" si="2"/>
        <v>-1.0999999999999943</v>
      </c>
      <c r="Q28" s="2">
        <f t="shared" si="3"/>
        <v>1.0999999999999943</v>
      </c>
    </row>
    <row r="29" spans="1:17" ht="28">
      <c r="A29" s="2">
        <v>502</v>
      </c>
      <c r="B29" s="2">
        <v>95</v>
      </c>
      <c r="C29" s="2">
        <v>0.93</v>
      </c>
      <c r="D29" s="2">
        <v>1.5860000000000001</v>
      </c>
      <c r="E29" s="2">
        <v>3.08</v>
      </c>
      <c r="F29" s="2">
        <v>8</v>
      </c>
      <c r="G29" s="2">
        <v>95</v>
      </c>
      <c r="H29" s="2">
        <v>0.9</v>
      </c>
      <c r="I29" s="2" t="s">
        <v>17</v>
      </c>
      <c r="J29" s="2">
        <v>0.97</v>
      </c>
      <c r="K29" s="2">
        <v>0.9</v>
      </c>
      <c r="L29" s="2">
        <v>0</v>
      </c>
      <c r="M29" s="2">
        <v>0</v>
      </c>
      <c r="N29" s="2">
        <v>267.60000000000002</v>
      </c>
      <c r="O29" s="2">
        <v>96</v>
      </c>
      <c r="P29" s="2">
        <f t="shared" si="2"/>
        <v>-1</v>
      </c>
      <c r="Q29" s="2">
        <f t="shared" si="3"/>
        <v>1</v>
      </c>
    </row>
    <row r="30" spans="1:17" ht="28">
      <c r="A30" s="2">
        <v>503</v>
      </c>
      <c r="B30" s="2">
        <v>95</v>
      </c>
      <c r="C30" s="2">
        <v>0.96</v>
      </c>
      <c r="D30" s="2">
        <v>1.5840000000000001</v>
      </c>
      <c r="E30" s="2">
        <v>3.18</v>
      </c>
      <c r="F30" s="2">
        <v>8</v>
      </c>
      <c r="G30" s="2">
        <v>95</v>
      </c>
      <c r="H30" s="2">
        <v>0.93</v>
      </c>
      <c r="I30" s="2" t="s">
        <v>17</v>
      </c>
      <c r="J30" s="2">
        <v>0.98</v>
      </c>
      <c r="K30" s="2">
        <v>0.93</v>
      </c>
      <c r="L30" s="2">
        <v>0</v>
      </c>
      <c r="M30" s="2">
        <v>0</v>
      </c>
      <c r="N30" s="2">
        <v>170.9</v>
      </c>
      <c r="O30" s="2">
        <v>95</v>
      </c>
      <c r="P30" s="2">
        <f t="shared" si="2"/>
        <v>0</v>
      </c>
      <c r="Q30" s="2">
        <f t="shared" si="3"/>
        <v>0</v>
      </c>
    </row>
    <row r="31" spans="1:17" ht="28">
      <c r="A31" s="2">
        <v>504</v>
      </c>
      <c r="B31" s="2">
        <v>94.5</v>
      </c>
      <c r="C31" s="2">
        <v>0.93</v>
      </c>
      <c r="D31" s="2">
        <v>1.5580000000000001</v>
      </c>
      <c r="E31" s="2">
        <v>3.09</v>
      </c>
      <c r="F31" s="2">
        <v>8</v>
      </c>
      <c r="G31" s="2">
        <v>94.5</v>
      </c>
      <c r="H31" s="2">
        <v>0.9</v>
      </c>
      <c r="I31" s="2" t="s">
        <v>17</v>
      </c>
      <c r="J31" s="2">
        <v>0.97</v>
      </c>
      <c r="K31" s="2">
        <v>0.9</v>
      </c>
      <c r="L31" s="2">
        <v>0</v>
      </c>
      <c r="M31" s="2">
        <v>0</v>
      </c>
      <c r="N31" s="2">
        <v>261.5</v>
      </c>
      <c r="O31" s="2">
        <v>95</v>
      </c>
      <c r="P31" s="2">
        <f t="shared" si="2"/>
        <v>-0.5</v>
      </c>
      <c r="Q31" s="2">
        <f t="shared" si="3"/>
        <v>0.5</v>
      </c>
    </row>
    <row r="32" spans="1:17" ht="28">
      <c r="A32" s="2">
        <v>505</v>
      </c>
      <c r="B32" s="2">
        <v>93.6</v>
      </c>
      <c r="C32" s="2">
        <v>0.96</v>
      </c>
      <c r="D32" s="2">
        <v>1.536</v>
      </c>
      <c r="E32" s="2">
        <v>3.16</v>
      </c>
      <c r="F32" s="2">
        <v>8</v>
      </c>
      <c r="G32" s="2">
        <v>93.6</v>
      </c>
      <c r="H32" s="2">
        <v>0.89</v>
      </c>
      <c r="I32" s="2" t="s">
        <v>17</v>
      </c>
      <c r="J32" s="2">
        <v>0.97</v>
      </c>
      <c r="K32" s="2">
        <v>0.89</v>
      </c>
      <c r="L32" s="2">
        <v>0</v>
      </c>
      <c r="M32" s="2">
        <v>0</v>
      </c>
      <c r="N32" s="2">
        <v>289.39999999999998</v>
      </c>
      <c r="O32" s="2">
        <v>94</v>
      </c>
      <c r="P32" s="2">
        <f t="shared" si="2"/>
        <v>-0.40000000000000568</v>
      </c>
      <c r="Q32" s="2">
        <f t="shared" si="3"/>
        <v>0.40000000000000568</v>
      </c>
    </row>
    <row r="33" spans="1:17" ht="28">
      <c r="A33" s="2">
        <v>506</v>
      </c>
      <c r="B33" s="2">
        <v>92.8</v>
      </c>
      <c r="C33" s="2">
        <v>0.86</v>
      </c>
      <c r="D33" s="2">
        <v>1.528</v>
      </c>
      <c r="E33" s="2">
        <v>2.82</v>
      </c>
      <c r="F33" s="2">
        <v>8</v>
      </c>
      <c r="G33" s="2">
        <v>92.8</v>
      </c>
      <c r="H33" s="2">
        <v>0.84</v>
      </c>
      <c r="I33" s="2" t="s">
        <v>17</v>
      </c>
      <c r="J33" s="2">
        <v>0.98</v>
      </c>
      <c r="K33" s="2">
        <v>0.84</v>
      </c>
      <c r="L33" s="2">
        <v>0</v>
      </c>
      <c r="M33" s="2">
        <v>0</v>
      </c>
      <c r="N33" s="2">
        <v>157.1</v>
      </c>
      <c r="O33" s="2">
        <v>94</v>
      </c>
      <c r="P33" s="2">
        <f t="shared" si="2"/>
        <v>-1.2000000000000028</v>
      </c>
      <c r="Q33" s="2">
        <f t="shared" si="3"/>
        <v>1.2000000000000028</v>
      </c>
    </row>
    <row r="34" spans="1:17" ht="28">
      <c r="A34" s="2">
        <v>507</v>
      </c>
      <c r="B34" s="2">
        <v>92.6</v>
      </c>
      <c r="C34" s="2">
        <v>0.8</v>
      </c>
      <c r="D34" s="2">
        <v>1.5469999999999999</v>
      </c>
      <c r="E34" s="2">
        <v>2.63</v>
      </c>
      <c r="F34" s="2">
        <v>8</v>
      </c>
      <c r="G34" s="2">
        <v>92.6</v>
      </c>
      <c r="H34" s="2">
        <v>0.56000000000000005</v>
      </c>
      <c r="I34" s="2" t="s">
        <v>17</v>
      </c>
      <c r="J34" s="2">
        <v>0.98</v>
      </c>
      <c r="K34" s="2">
        <v>0.56000000000000005</v>
      </c>
      <c r="L34" s="2">
        <v>0</v>
      </c>
      <c r="M34" s="2">
        <v>0</v>
      </c>
      <c r="N34" s="2">
        <v>189.1</v>
      </c>
      <c r="O34" s="2">
        <v>93</v>
      </c>
      <c r="P34" s="2">
        <f t="shared" si="2"/>
        <v>-0.40000000000000568</v>
      </c>
      <c r="Q34" s="2">
        <f t="shared" si="3"/>
        <v>0.40000000000000568</v>
      </c>
    </row>
    <row r="35" spans="1:17" ht="28">
      <c r="A35" s="2">
        <v>508</v>
      </c>
      <c r="B35" s="2">
        <v>93.2</v>
      </c>
      <c r="C35" s="2">
        <v>0.87</v>
      </c>
      <c r="D35" s="2">
        <v>1.57</v>
      </c>
      <c r="E35" s="2">
        <v>2.86</v>
      </c>
      <c r="F35" s="2">
        <v>8</v>
      </c>
      <c r="G35" s="2">
        <v>93.2</v>
      </c>
      <c r="H35" s="2">
        <v>0.61</v>
      </c>
      <c r="I35" s="2" t="s">
        <v>17</v>
      </c>
      <c r="J35" s="2">
        <v>0.97</v>
      </c>
      <c r="K35" s="2">
        <v>0.61</v>
      </c>
      <c r="L35" s="2">
        <v>0</v>
      </c>
      <c r="M35" s="2">
        <v>0</v>
      </c>
      <c r="N35" s="2">
        <v>324.2</v>
      </c>
      <c r="O35" s="2">
        <v>93</v>
      </c>
      <c r="P35" s="2">
        <f t="shared" si="2"/>
        <v>0.20000000000000284</v>
      </c>
      <c r="Q35" s="2">
        <f t="shared" si="3"/>
        <v>0.20000000000000284</v>
      </c>
    </row>
    <row r="36" spans="1:17" ht="28">
      <c r="A36" s="2">
        <v>509</v>
      </c>
      <c r="B36" s="2">
        <v>94.3</v>
      </c>
      <c r="C36" s="2">
        <v>0.79</v>
      </c>
      <c r="D36" s="2">
        <v>1.601</v>
      </c>
      <c r="E36" s="2">
        <v>2.6</v>
      </c>
      <c r="F36" s="2">
        <v>8</v>
      </c>
      <c r="G36" s="2">
        <v>94.3</v>
      </c>
      <c r="H36" s="2">
        <v>0.56000000000000005</v>
      </c>
      <c r="I36" s="2" t="s">
        <v>17</v>
      </c>
      <c r="J36" s="2">
        <v>0.98</v>
      </c>
      <c r="K36" s="2">
        <v>0.56000000000000005</v>
      </c>
      <c r="L36" s="2">
        <v>0</v>
      </c>
      <c r="M36" s="2">
        <v>0</v>
      </c>
      <c r="N36" s="2">
        <v>194.9</v>
      </c>
      <c r="O36" s="2">
        <v>94</v>
      </c>
      <c r="P36" s="2">
        <f t="shared" si="2"/>
        <v>0.29999999999999716</v>
      </c>
      <c r="Q36" s="2">
        <f t="shared" si="3"/>
        <v>0.29999999999999716</v>
      </c>
    </row>
    <row r="37" spans="1:17" ht="28">
      <c r="A37" s="2">
        <v>510</v>
      </c>
      <c r="B37" s="2">
        <v>94.8</v>
      </c>
      <c r="C37" s="2">
        <v>0.65</v>
      </c>
      <c r="D37" s="2">
        <v>1.5840000000000001</v>
      </c>
      <c r="E37" s="2">
        <v>2.14</v>
      </c>
      <c r="F37" s="2">
        <v>8</v>
      </c>
      <c r="G37" s="2">
        <v>94.8</v>
      </c>
      <c r="H37" s="2">
        <v>0.49</v>
      </c>
      <c r="I37" s="2" t="s">
        <v>17</v>
      </c>
      <c r="J37" s="2">
        <v>0.98</v>
      </c>
      <c r="K37" s="2">
        <v>0.49</v>
      </c>
      <c r="L37" s="2">
        <v>0</v>
      </c>
      <c r="M37" s="2">
        <v>0</v>
      </c>
      <c r="N37" s="2">
        <v>236.5</v>
      </c>
      <c r="O37" s="2">
        <v>94</v>
      </c>
      <c r="P37" s="2">
        <f t="shared" si="2"/>
        <v>0.79999999999999716</v>
      </c>
      <c r="Q37" s="2">
        <f t="shared" si="3"/>
        <v>0.79999999999999716</v>
      </c>
    </row>
    <row r="38" spans="1:17" ht="28">
      <c r="A38" s="2">
        <v>511</v>
      </c>
      <c r="B38" s="2">
        <v>94.1</v>
      </c>
      <c r="C38" s="2">
        <v>0.65</v>
      </c>
      <c r="D38" s="2">
        <v>1.548</v>
      </c>
      <c r="E38" s="2">
        <v>2.12</v>
      </c>
      <c r="F38" s="2">
        <v>8</v>
      </c>
      <c r="G38" s="2">
        <v>94.1</v>
      </c>
      <c r="H38" s="2">
        <v>0.55000000000000004</v>
      </c>
      <c r="I38" s="2" t="s">
        <v>17</v>
      </c>
      <c r="J38" s="2">
        <v>0.97</v>
      </c>
      <c r="K38" s="2">
        <v>0.55000000000000004</v>
      </c>
      <c r="L38" s="2">
        <v>0</v>
      </c>
      <c r="M38" s="2">
        <v>0</v>
      </c>
      <c r="N38" s="2">
        <v>272.60000000000002</v>
      </c>
      <c r="O38" s="2">
        <v>95</v>
      </c>
      <c r="P38" s="2">
        <f t="shared" si="2"/>
        <v>-0.90000000000000568</v>
      </c>
      <c r="Q38" s="2">
        <f t="shared" si="3"/>
        <v>0.90000000000000568</v>
      </c>
    </row>
    <row r="39" spans="1:17" ht="28">
      <c r="A39" s="2">
        <v>512</v>
      </c>
      <c r="B39" s="2">
        <v>93.9</v>
      </c>
      <c r="C39" s="2">
        <v>0.75</v>
      </c>
      <c r="D39" s="2">
        <v>1.5680000000000001</v>
      </c>
      <c r="E39" s="2">
        <v>2.4700000000000002</v>
      </c>
      <c r="F39" s="2">
        <v>8</v>
      </c>
      <c r="G39" s="2">
        <v>93.9</v>
      </c>
      <c r="H39" s="2">
        <v>0.56999999999999995</v>
      </c>
      <c r="I39" s="2" t="s">
        <v>17</v>
      </c>
      <c r="J39" s="2">
        <v>0.97</v>
      </c>
      <c r="K39" s="2">
        <v>0.56999999999999995</v>
      </c>
      <c r="L39" s="2">
        <v>0</v>
      </c>
      <c r="M39" s="2">
        <v>0</v>
      </c>
      <c r="N39" s="2">
        <v>274.60000000000002</v>
      </c>
      <c r="O39" s="2">
        <v>95</v>
      </c>
      <c r="P39" s="2">
        <f t="shared" si="2"/>
        <v>-1.0999999999999943</v>
      </c>
      <c r="Q39" s="2">
        <f t="shared" si="3"/>
        <v>1.0999999999999943</v>
      </c>
    </row>
    <row r="40" spans="1:17" ht="28">
      <c r="A40" s="2">
        <v>513</v>
      </c>
      <c r="B40" s="2">
        <v>94</v>
      </c>
      <c r="C40" s="2">
        <v>0.84</v>
      </c>
      <c r="D40" s="2">
        <v>1.5640000000000001</v>
      </c>
      <c r="E40" s="2">
        <v>2.77</v>
      </c>
      <c r="F40" s="2">
        <v>8</v>
      </c>
      <c r="G40" s="2">
        <v>94</v>
      </c>
      <c r="H40" s="2">
        <v>0.71</v>
      </c>
      <c r="I40" s="2" t="s">
        <v>17</v>
      </c>
      <c r="J40" s="2">
        <v>0.98</v>
      </c>
      <c r="K40" s="2">
        <v>0.71</v>
      </c>
      <c r="L40" s="2">
        <v>0</v>
      </c>
      <c r="M40" s="2">
        <v>0</v>
      </c>
      <c r="N40" s="2">
        <v>192.1</v>
      </c>
      <c r="O40" s="2">
        <v>95</v>
      </c>
      <c r="P40" s="2">
        <f t="shared" si="2"/>
        <v>-1</v>
      </c>
      <c r="Q40" s="2">
        <f t="shared" si="3"/>
        <v>1</v>
      </c>
    </row>
    <row r="41" spans="1:17" ht="28">
      <c r="A41" s="2">
        <v>514</v>
      </c>
      <c r="B41" s="2">
        <v>93.1</v>
      </c>
      <c r="C41" s="2">
        <v>0.84</v>
      </c>
      <c r="D41" s="2">
        <v>1.522</v>
      </c>
      <c r="E41" s="2">
        <v>2.75</v>
      </c>
      <c r="F41" s="2">
        <v>8</v>
      </c>
      <c r="G41" s="2">
        <v>93.1</v>
      </c>
      <c r="H41" s="2">
        <v>0.73</v>
      </c>
      <c r="I41" s="2" t="s">
        <v>17</v>
      </c>
      <c r="J41" s="2">
        <v>0.96</v>
      </c>
      <c r="K41" s="2">
        <v>0.73</v>
      </c>
      <c r="L41" s="2">
        <v>0</v>
      </c>
      <c r="M41" s="2">
        <v>0</v>
      </c>
      <c r="N41" s="2">
        <v>373.4</v>
      </c>
      <c r="O41" s="2">
        <v>95</v>
      </c>
      <c r="P41" s="2">
        <f t="shared" ref="P41:P61" si="4">G41-O41</f>
        <v>-1.9000000000000057</v>
      </c>
      <c r="Q41" s="2">
        <f t="shared" ref="Q41:Q61" si="5">ABS(P41)</f>
        <v>1.9000000000000057</v>
      </c>
    </row>
    <row r="42" spans="1:17" ht="28">
      <c r="A42" s="2">
        <v>515</v>
      </c>
      <c r="B42" s="2">
        <v>91.2</v>
      </c>
      <c r="C42" s="2">
        <v>0.79</v>
      </c>
      <c r="D42" s="2">
        <v>1.472</v>
      </c>
      <c r="E42" s="2">
        <v>2.61</v>
      </c>
      <c r="F42" s="2">
        <v>8</v>
      </c>
      <c r="G42" s="2">
        <v>91.2</v>
      </c>
      <c r="H42" s="2">
        <v>0.67</v>
      </c>
      <c r="I42" s="2" t="s">
        <v>17</v>
      </c>
      <c r="J42" s="2">
        <v>0.96</v>
      </c>
      <c r="K42" s="2">
        <v>0.67</v>
      </c>
      <c r="L42" s="2">
        <v>0</v>
      </c>
      <c r="M42" s="2">
        <v>0</v>
      </c>
      <c r="N42" s="2">
        <v>424.3</v>
      </c>
      <c r="O42" s="2">
        <v>92</v>
      </c>
      <c r="P42" s="2">
        <f t="shared" si="4"/>
        <v>-0.79999999999999716</v>
      </c>
      <c r="Q42" s="2">
        <f t="shared" si="5"/>
        <v>0.79999999999999716</v>
      </c>
    </row>
    <row r="43" spans="1:17" ht="28">
      <c r="A43" s="2">
        <v>516</v>
      </c>
      <c r="B43" s="2">
        <v>89.8</v>
      </c>
      <c r="C43" s="2">
        <v>0.77</v>
      </c>
      <c r="D43" s="2">
        <v>1.468</v>
      </c>
      <c r="E43" s="2">
        <v>2.5299999999999998</v>
      </c>
      <c r="F43" s="2">
        <v>8</v>
      </c>
      <c r="G43" s="2">
        <v>89.8</v>
      </c>
      <c r="H43" s="2">
        <v>0.63</v>
      </c>
      <c r="I43" s="2" t="s">
        <v>17</v>
      </c>
      <c r="J43" s="2">
        <v>0.97</v>
      </c>
      <c r="K43" s="2">
        <v>0.63</v>
      </c>
      <c r="L43" s="2">
        <v>0</v>
      </c>
      <c r="M43" s="2">
        <v>0</v>
      </c>
      <c r="N43" s="2">
        <v>348.5</v>
      </c>
      <c r="O43" s="2">
        <v>92</v>
      </c>
      <c r="P43" s="2">
        <f t="shared" si="4"/>
        <v>-2.2000000000000028</v>
      </c>
      <c r="Q43" s="2">
        <f t="shared" si="5"/>
        <v>2.2000000000000028</v>
      </c>
    </row>
    <row r="44" spans="1:17" ht="28">
      <c r="A44" s="2">
        <v>517</v>
      </c>
      <c r="B44" s="2">
        <v>89.5</v>
      </c>
      <c r="C44" s="2">
        <v>0.81</v>
      </c>
      <c r="D44" s="2">
        <v>1.49</v>
      </c>
      <c r="E44" s="2">
        <v>2.67</v>
      </c>
      <c r="F44" s="2">
        <v>8</v>
      </c>
      <c r="G44" s="2">
        <v>89.5</v>
      </c>
      <c r="H44" s="2">
        <v>0.79</v>
      </c>
      <c r="I44" s="2" t="s">
        <v>17</v>
      </c>
      <c r="J44" s="2">
        <v>0.97</v>
      </c>
      <c r="K44" s="2">
        <v>0.79</v>
      </c>
      <c r="L44" s="2">
        <v>0</v>
      </c>
      <c r="M44" s="2">
        <v>0</v>
      </c>
      <c r="N44" s="2">
        <v>271.60000000000002</v>
      </c>
      <c r="O44" s="2">
        <v>90</v>
      </c>
      <c r="P44" s="2">
        <f t="shared" si="4"/>
        <v>-0.5</v>
      </c>
      <c r="Q44" s="2">
        <f t="shared" si="5"/>
        <v>0.5</v>
      </c>
    </row>
    <row r="45" spans="1:17" ht="28">
      <c r="A45" s="2">
        <v>518</v>
      </c>
      <c r="B45" s="2">
        <v>89.9</v>
      </c>
      <c r="C45" s="2">
        <v>0.89</v>
      </c>
      <c r="D45" s="2">
        <v>1.512</v>
      </c>
      <c r="E45" s="2">
        <v>2.93</v>
      </c>
      <c r="F45" s="2">
        <v>8</v>
      </c>
      <c r="G45" s="2">
        <v>89.9</v>
      </c>
      <c r="H45" s="2">
        <v>0.87</v>
      </c>
      <c r="I45" s="2" t="s">
        <v>17</v>
      </c>
      <c r="J45" s="2">
        <v>0.96</v>
      </c>
      <c r="K45" s="2">
        <v>0.87</v>
      </c>
      <c r="L45" s="2">
        <v>0</v>
      </c>
      <c r="M45" s="2">
        <v>0</v>
      </c>
      <c r="N45" s="2">
        <v>436.6</v>
      </c>
      <c r="O45" s="2">
        <v>90</v>
      </c>
      <c r="P45" s="2">
        <f t="shared" si="4"/>
        <v>-9.9999999999994316E-2</v>
      </c>
      <c r="Q45" s="2">
        <f t="shared" si="5"/>
        <v>9.9999999999994316E-2</v>
      </c>
    </row>
    <row r="46" spans="1:17" ht="28">
      <c r="A46" s="2">
        <v>519</v>
      </c>
      <c r="B46" s="2">
        <v>90.1</v>
      </c>
      <c r="C46" s="2">
        <v>0.86</v>
      </c>
      <c r="D46" s="2">
        <v>1.502</v>
      </c>
      <c r="E46" s="2">
        <v>2.83</v>
      </c>
      <c r="F46" s="2">
        <v>8</v>
      </c>
      <c r="G46" s="2">
        <v>90.1</v>
      </c>
      <c r="H46" s="2">
        <v>0.68</v>
      </c>
      <c r="I46" s="2" t="s">
        <v>17</v>
      </c>
      <c r="J46" s="2">
        <v>0.98</v>
      </c>
      <c r="K46" s="2">
        <v>0.68</v>
      </c>
      <c r="L46" s="2">
        <v>0</v>
      </c>
      <c r="M46" s="2">
        <v>0</v>
      </c>
      <c r="N46" s="2">
        <v>238.4</v>
      </c>
      <c r="O46" s="2">
        <v>89</v>
      </c>
      <c r="P46" s="2">
        <f t="shared" si="4"/>
        <v>1.0999999999999943</v>
      </c>
      <c r="Q46" s="2">
        <f t="shared" si="5"/>
        <v>1.0999999999999943</v>
      </c>
    </row>
    <row r="47" spans="1:17" ht="28">
      <c r="A47" s="2">
        <v>521</v>
      </c>
      <c r="B47" s="2">
        <v>88.8</v>
      </c>
      <c r="C47" s="2">
        <v>0.77</v>
      </c>
      <c r="D47" s="2">
        <v>1.4690000000000001</v>
      </c>
      <c r="E47" s="2">
        <v>2.5299999999999998</v>
      </c>
      <c r="F47" s="2">
        <v>8</v>
      </c>
      <c r="G47" s="2">
        <v>88.8</v>
      </c>
      <c r="H47" s="2">
        <v>0.54</v>
      </c>
      <c r="I47" s="2" t="s">
        <v>17</v>
      </c>
      <c r="J47" s="2">
        <v>0.96</v>
      </c>
      <c r="K47" s="2">
        <v>0.54</v>
      </c>
      <c r="L47" s="2">
        <v>0</v>
      </c>
      <c r="M47" s="2">
        <v>0</v>
      </c>
      <c r="N47" s="2">
        <v>389.6</v>
      </c>
      <c r="O47" s="2">
        <v>90</v>
      </c>
      <c r="P47" s="2">
        <f t="shared" si="4"/>
        <v>-1.2000000000000028</v>
      </c>
      <c r="Q47" s="2">
        <f t="shared" si="5"/>
        <v>1.2000000000000028</v>
      </c>
    </row>
    <row r="48" spans="1:17" ht="28">
      <c r="A48" s="2">
        <v>522</v>
      </c>
      <c r="B48" s="2">
        <v>89.4</v>
      </c>
      <c r="C48" s="2">
        <v>0.85</v>
      </c>
      <c r="D48" s="2">
        <v>1.512</v>
      </c>
      <c r="E48" s="2">
        <v>2.8</v>
      </c>
      <c r="F48" s="2">
        <v>8</v>
      </c>
      <c r="G48" s="2">
        <v>89.4</v>
      </c>
      <c r="H48" s="2">
        <v>0.84</v>
      </c>
      <c r="I48" s="2" t="s">
        <v>17</v>
      </c>
      <c r="J48" s="2">
        <v>0.98</v>
      </c>
      <c r="K48" s="2">
        <v>0.84</v>
      </c>
      <c r="L48" s="2">
        <v>0</v>
      </c>
      <c r="M48" s="2">
        <v>0</v>
      </c>
      <c r="N48" s="2">
        <v>241.2</v>
      </c>
      <c r="O48" s="2">
        <v>90</v>
      </c>
      <c r="P48" s="2">
        <f t="shared" si="4"/>
        <v>-0.59999999999999432</v>
      </c>
      <c r="Q48" s="2">
        <f t="shared" si="5"/>
        <v>0.59999999999999432</v>
      </c>
    </row>
    <row r="49" spans="1:17" ht="28">
      <c r="A49" s="2">
        <v>523</v>
      </c>
      <c r="B49" s="2">
        <v>90.7</v>
      </c>
      <c r="C49" s="2">
        <v>0.9</v>
      </c>
      <c r="D49" s="2">
        <v>1.544</v>
      </c>
      <c r="E49" s="2">
        <v>2.97</v>
      </c>
      <c r="F49" s="2">
        <v>8</v>
      </c>
      <c r="G49" s="2">
        <v>90.7</v>
      </c>
      <c r="H49" s="2">
        <v>0.9</v>
      </c>
      <c r="I49" s="2" t="s">
        <v>17</v>
      </c>
      <c r="J49" s="2">
        <v>0.98</v>
      </c>
      <c r="K49" s="2">
        <v>0.9</v>
      </c>
      <c r="L49" s="2">
        <v>0</v>
      </c>
      <c r="M49" s="2">
        <v>0</v>
      </c>
      <c r="N49" s="2">
        <v>249.8</v>
      </c>
      <c r="O49" s="2">
        <v>91</v>
      </c>
      <c r="P49" s="2">
        <f t="shared" si="4"/>
        <v>-0.29999999999999716</v>
      </c>
      <c r="Q49" s="2">
        <f t="shared" si="5"/>
        <v>0.29999999999999716</v>
      </c>
    </row>
    <row r="50" spans="1:17" ht="28">
      <c r="A50" s="2">
        <v>524</v>
      </c>
      <c r="B50" s="2">
        <v>91.7</v>
      </c>
      <c r="C50" s="2">
        <v>0.96</v>
      </c>
      <c r="D50" s="2">
        <v>1.55</v>
      </c>
      <c r="E50" s="2">
        <v>3.15</v>
      </c>
      <c r="F50" s="2">
        <v>8</v>
      </c>
      <c r="G50" s="2">
        <v>91.7</v>
      </c>
      <c r="H50" s="2">
        <v>0.67</v>
      </c>
      <c r="I50" s="2" t="s">
        <v>17</v>
      </c>
      <c r="J50" s="2">
        <v>0.96</v>
      </c>
      <c r="K50" s="2">
        <v>0.67</v>
      </c>
      <c r="L50" s="2">
        <v>0</v>
      </c>
      <c r="M50" s="2">
        <v>0</v>
      </c>
      <c r="N50" s="2">
        <v>393.2</v>
      </c>
      <c r="O50" s="2">
        <v>91</v>
      </c>
      <c r="P50" s="2">
        <f t="shared" si="4"/>
        <v>0.70000000000000284</v>
      </c>
      <c r="Q50" s="2">
        <f t="shared" si="5"/>
        <v>0.70000000000000284</v>
      </c>
    </row>
    <row r="51" spans="1:17" ht="28">
      <c r="A51" s="2">
        <v>525</v>
      </c>
      <c r="B51" s="2">
        <v>92.3</v>
      </c>
      <c r="C51" s="2">
        <v>1</v>
      </c>
      <c r="D51" s="2">
        <v>1.552</v>
      </c>
      <c r="E51" s="2">
        <v>3.31</v>
      </c>
      <c r="F51" s="2">
        <v>8</v>
      </c>
      <c r="G51" s="2">
        <v>92.3</v>
      </c>
      <c r="H51" s="2">
        <v>0.77</v>
      </c>
      <c r="I51" s="2" t="s">
        <v>17</v>
      </c>
      <c r="J51" s="2">
        <v>0.98</v>
      </c>
      <c r="K51" s="2">
        <v>0.77</v>
      </c>
      <c r="L51" s="2">
        <v>0</v>
      </c>
      <c r="M51" s="2">
        <v>0</v>
      </c>
      <c r="N51" s="2">
        <v>216.2</v>
      </c>
      <c r="O51" s="2">
        <v>94</v>
      </c>
      <c r="P51" s="2">
        <f t="shared" si="4"/>
        <v>-1.7000000000000028</v>
      </c>
      <c r="Q51" s="2">
        <f t="shared" si="5"/>
        <v>1.7000000000000028</v>
      </c>
    </row>
    <row r="52" spans="1:17" ht="28">
      <c r="A52" s="2">
        <v>526</v>
      </c>
      <c r="B52" s="2">
        <v>92.9</v>
      </c>
      <c r="C52" s="2">
        <v>1</v>
      </c>
      <c r="D52" s="2">
        <v>1.5640000000000001</v>
      </c>
      <c r="E52" s="2">
        <v>3.34</v>
      </c>
      <c r="F52" s="2">
        <v>8</v>
      </c>
      <c r="G52" s="2">
        <v>92.9</v>
      </c>
      <c r="H52" s="2">
        <v>0.95</v>
      </c>
      <c r="I52" s="2" t="s">
        <v>17</v>
      </c>
      <c r="J52" s="2">
        <v>0.97</v>
      </c>
      <c r="K52" s="2">
        <v>0.95</v>
      </c>
      <c r="L52" s="2">
        <v>0</v>
      </c>
      <c r="M52" s="2">
        <v>0</v>
      </c>
      <c r="N52" s="2">
        <v>284.5</v>
      </c>
      <c r="O52" s="2">
        <v>94</v>
      </c>
      <c r="P52" s="2">
        <f t="shared" si="4"/>
        <v>-1.0999999999999943</v>
      </c>
      <c r="Q52" s="2">
        <f t="shared" si="5"/>
        <v>1.0999999999999943</v>
      </c>
    </row>
    <row r="53" spans="1:17" ht="28">
      <c r="A53" s="2">
        <v>527</v>
      </c>
      <c r="B53" s="2">
        <v>93.5</v>
      </c>
      <c r="C53" s="2">
        <v>0.99</v>
      </c>
      <c r="D53" s="2">
        <v>1.5720000000000001</v>
      </c>
      <c r="E53" s="2">
        <v>3.27</v>
      </c>
      <c r="F53" s="2">
        <v>8</v>
      </c>
      <c r="G53" s="2">
        <v>93.5</v>
      </c>
      <c r="H53" s="2">
        <v>0.94</v>
      </c>
      <c r="I53" s="2" t="s">
        <v>17</v>
      </c>
      <c r="J53" s="2">
        <v>0.98</v>
      </c>
      <c r="K53" s="2">
        <v>0.94</v>
      </c>
      <c r="L53" s="2">
        <v>0</v>
      </c>
      <c r="M53" s="2">
        <v>0</v>
      </c>
      <c r="N53" s="2">
        <v>204.2</v>
      </c>
      <c r="O53" s="2">
        <v>94</v>
      </c>
      <c r="P53" s="2">
        <f t="shared" si="4"/>
        <v>-0.5</v>
      </c>
      <c r="Q53" s="2">
        <f t="shared" si="5"/>
        <v>0.5</v>
      </c>
    </row>
    <row r="54" spans="1:17" ht="28">
      <c r="A54" s="2">
        <v>528</v>
      </c>
      <c r="B54" s="2">
        <v>93.6</v>
      </c>
      <c r="C54" s="2">
        <v>0.98</v>
      </c>
      <c r="D54" s="2">
        <v>1.56</v>
      </c>
      <c r="E54" s="2">
        <v>3.24</v>
      </c>
      <c r="F54" s="2">
        <v>8</v>
      </c>
      <c r="G54" s="2">
        <v>93.6</v>
      </c>
      <c r="H54" s="2">
        <v>0.92</v>
      </c>
      <c r="I54" s="2" t="s">
        <v>17</v>
      </c>
      <c r="J54" s="2">
        <v>0.98</v>
      </c>
      <c r="K54" s="2">
        <v>0.92</v>
      </c>
      <c r="L54" s="2">
        <v>0</v>
      </c>
      <c r="M54" s="2">
        <v>0</v>
      </c>
      <c r="N54" s="2">
        <v>209.3</v>
      </c>
      <c r="O54" s="2">
        <v>94</v>
      </c>
      <c r="P54" s="2">
        <f t="shared" si="4"/>
        <v>-0.40000000000000568</v>
      </c>
      <c r="Q54" s="2">
        <f t="shared" si="5"/>
        <v>0.40000000000000568</v>
      </c>
    </row>
    <row r="55" spans="1:17" ht="28">
      <c r="A55" s="2">
        <v>529</v>
      </c>
      <c r="B55" s="2">
        <v>93.2</v>
      </c>
      <c r="C55" s="2">
        <v>0.98</v>
      </c>
      <c r="D55" s="2">
        <v>1.5389999999999999</v>
      </c>
      <c r="E55" s="2">
        <v>3.24</v>
      </c>
      <c r="F55" s="2">
        <v>8</v>
      </c>
      <c r="G55" s="2">
        <v>93.2</v>
      </c>
      <c r="H55" s="2">
        <v>0.93</v>
      </c>
      <c r="I55" s="2" t="s">
        <v>17</v>
      </c>
      <c r="J55" s="2">
        <v>0.98</v>
      </c>
      <c r="K55" s="2">
        <v>0.93</v>
      </c>
      <c r="L55" s="2">
        <v>0</v>
      </c>
      <c r="M55" s="2">
        <v>0</v>
      </c>
      <c r="N55" s="2">
        <v>246.2</v>
      </c>
      <c r="O55" s="2">
        <v>93</v>
      </c>
      <c r="P55" s="2">
        <f t="shared" si="4"/>
        <v>0.20000000000000284</v>
      </c>
      <c r="Q55" s="2">
        <f t="shared" si="5"/>
        <v>0.20000000000000284</v>
      </c>
    </row>
    <row r="56" spans="1:17" ht="28">
      <c r="A56" s="2">
        <v>530</v>
      </c>
      <c r="B56" s="2">
        <v>92.5</v>
      </c>
      <c r="C56" s="2">
        <v>0.99</v>
      </c>
      <c r="D56" s="2">
        <v>1.528</v>
      </c>
      <c r="E56" s="2">
        <v>3.27</v>
      </c>
      <c r="F56" s="2">
        <v>8</v>
      </c>
      <c r="G56" s="2">
        <v>92.5</v>
      </c>
      <c r="H56" s="2">
        <v>0.94</v>
      </c>
      <c r="I56" s="2" t="s">
        <v>17</v>
      </c>
      <c r="J56" s="2">
        <v>0.97</v>
      </c>
      <c r="K56" s="2">
        <v>0.94</v>
      </c>
      <c r="L56" s="2">
        <v>0</v>
      </c>
      <c r="M56" s="2">
        <v>0</v>
      </c>
      <c r="N56" s="2">
        <v>287.5</v>
      </c>
      <c r="O56" s="2">
        <v>93</v>
      </c>
      <c r="P56" s="2">
        <f t="shared" si="4"/>
        <v>-0.5</v>
      </c>
      <c r="Q56" s="2">
        <f t="shared" si="5"/>
        <v>0.5</v>
      </c>
    </row>
    <row r="57" spans="1:17" ht="28">
      <c r="A57" s="2">
        <v>531</v>
      </c>
      <c r="B57" s="2">
        <v>92.4</v>
      </c>
      <c r="C57" s="2">
        <v>1</v>
      </c>
      <c r="D57" s="2">
        <v>1.5389999999999999</v>
      </c>
      <c r="E57" s="2">
        <v>3.33</v>
      </c>
      <c r="F57" s="2">
        <v>8</v>
      </c>
      <c r="G57" s="2">
        <v>92.4</v>
      </c>
      <c r="H57" s="2">
        <v>0.95</v>
      </c>
      <c r="I57" s="2" t="s">
        <v>17</v>
      </c>
      <c r="J57" s="2">
        <v>0.97</v>
      </c>
      <c r="K57" s="2">
        <v>0.95</v>
      </c>
      <c r="L57" s="2">
        <v>0</v>
      </c>
      <c r="M57" s="2">
        <v>0</v>
      </c>
      <c r="N57" s="2">
        <v>302.5</v>
      </c>
      <c r="O57" s="2">
        <v>93</v>
      </c>
      <c r="P57" s="2">
        <f t="shared" si="4"/>
        <v>-0.59999999999999432</v>
      </c>
      <c r="Q57" s="2">
        <f t="shared" si="5"/>
        <v>0.59999999999999432</v>
      </c>
    </row>
    <row r="58" spans="1:17" ht="28">
      <c r="A58" s="2">
        <v>532</v>
      </c>
      <c r="B58" s="2">
        <v>92.5</v>
      </c>
      <c r="C58" s="2">
        <v>1</v>
      </c>
      <c r="D58" s="2">
        <v>1.5469999999999999</v>
      </c>
      <c r="E58" s="2">
        <v>3.36</v>
      </c>
      <c r="F58" s="2">
        <v>8</v>
      </c>
      <c r="G58" s="2">
        <v>92.5</v>
      </c>
      <c r="H58" s="2">
        <v>0.95</v>
      </c>
      <c r="I58" s="2" t="s">
        <v>17</v>
      </c>
      <c r="J58" s="2">
        <v>0.97</v>
      </c>
      <c r="K58" s="2">
        <v>0.95</v>
      </c>
      <c r="L58" s="2">
        <v>0</v>
      </c>
      <c r="M58" s="2">
        <v>0</v>
      </c>
      <c r="N58" s="2">
        <v>251.7</v>
      </c>
      <c r="O58" s="2">
        <v>93</v>
      </c>
      <c r="P58" s="2">
        <f t="shared" si="4"/>
        <v>-0.5</v>
      </c>
      <c r="Q58" s="2">
        <f t="shared" si="5"/>
        <v>0.5</v>
      </c>
    </row>
    <row r="59" spans="1:17" ht="28">
      <c r="A59" s="2">
        <v>533</v>
      </c>
      <c r="B59" s="2">
        <v>92.9</v>
      </c>
      <c r="C59" s="2">
        <v>0.99</v>
      </c>
      <c r="D59" s="2">
        <v>1.5609999999999999</v>
      </c>
      <c r="E59" s="2">
        <v>3.26</v>
      </c>
      <c r="F59" s="2">
        <v>8</v>
      </c>
      <c r="G59" s="2">
        <v>92.9</v>
      </c>
      <c r="H59" s="2">
        <v>0.94</v>
      </c>
      <c r="I59" s="2" t="s">
        <v>17</v>
      </c>
      <c r="J59" s="2">
        <v>0.97</v>
      </c>
      <c r="K59" s="2">
        <v>0.94</v>
      </c>
      <c r="L59" s="2">
        <v>0</v>
      </c>
      <c r="M59" s="2">
        <v>0</v>
      </c>
      <c r="N59" s="2">
        <v>280.2</v>
      </c>
      <c r="O59" s="2">
        <v>94</v>
      </c>
      <c r="P59" s="2">
        <f t="shared" si="4"/>
        <v>-1.0999999999999943</v>
      </c>
      <c r="Q59" s="2">
        <f t="shared" si="5"/>
        <v>1.0999999999999943</v>
      </c>
    </row>
    <row r="60" spans="1:17" ht="28">
      <c r="A60" s="2">
        <v>534</v>
      </c>
      <c r="B60" s="2">
        <v>93.7</v>
      </c>
      <c r="C60" s="2">
        <v>0.97</v>
      </c>
      <c r="D60" s="2">
        <v>1.58</v>
      </c>
      <c r="E60" s="2">
        <v>3.21</v>
      </c>
      <c r="F60" s="2">
        <v>8</v>
      </c>
      <c r="G60" s="2">
        <v>93.7</v>
      </c>
      <c r="H60" s="2">
        <v>0.94</v>
      </c>
      <c r="I60" s="2" t="s">
        <v>17</v>
      </c>
      <c r="J60" s="2">
        <v>0.98</v>
      </c>
      <c r="K60" s="2">
        <v>0.94</v>
      </c>
      <c r="L60" s="2">
        <v>0</v>
      </c>
      <c r="M60" s="2">
        <v>0</v>
      </c>
      <c r="N60" s="2">
        <v>193.3</v>
      </c>
      <c r="O60" s="2">
        <v>94</v>
      </c>
      <c r="P60" s="2">
        <f t="shared" si="4"/>
        <v>-0.29999999999999716</v>
      </c>
      <c r="Q60" s="2">
        <f t="shared" si="5"/>
        <v>0.29999999999999716</v>
      </c>
    </row>
    <row r="61" spans="1:17" ht="28">
      <c r="A61" s="2">
        <v>535</v>
      </c>
      <c r="B61" s="2">
        <v>94</v>
      </c>
      <c r="C61" s="2">
        <v>0.99</v>
      </c>
      <c r="D61" s="2">
        <v>1.5720000000000001</v>
      </c>
      <c r="E61" s="2">
        <v>3.27</v>
      </c>
      <c r="F61" s="2">
        <v>8</v>
      </c>
      <c r="G61" s="2">
        <v>94</v>
      </c>
      <c r="H61" s="2">
        <v>0.94</v>
      </c>
      <c r="I61" s="2" t="s">
        <v>17</v>
      </c>
      <c r="J61" s="2">
        <v>0.97</v>
      </c>
      <c r="K61" s="2">
        <v>0.94</v>
      </c>
      <c r="L61" s="2">
        <v>0</v>
      </c>
      <c r="M61" s="2">
        <v>0</v>
      </c>
      <c r="N61" s="2">
        <v>286.8</v>
      </c>
      <c r="O61" s="2">
        <v>95</v>
      </c>
      <c r="P61" s="2">
        <f t="shared" si="4"/>
        <v>-1</v>
      </c>
      <c r="Q61" s="2">
        <f t="shared" si="5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2"/>
  <sheetViews>
    <sheetView tabSelected="1" workbookViewId="0">
      <selection activeCell="B4" sqref="B4"/>
    </sheetView>
  </sheetViews>
  <sheetFormatPr defaultRowHeight="14"/>
  <cols>
    <col min="1" max="1" width="43.33203125" customWidth="1"/>
    <col min="2" max="2" width="9.25" customWidth="1"/>
    <col min="3" max="3" width="6.4140625" customWidth="1"/>
    <col min="4" max="4" width="60.4140625" customWidth="1"/>
  </cols>
  <sheetData>
    <row r="1" spans="1:4" ht="16" customHeight="1">
      <c r="A1" s="10" t="s">
        <v>18</v>
      </c>
      <c r="B1" s="11"/>
      <c r="D1" s="7" t="s">
        <v>19</v>
      </c>
    </row>
    <row r="2" spans="1:4">
      <c r="A2" s="3" t="s">
        <v>20</v>
      </c>
      <c r="B2" s="3" t="s">
        <v>21</v>
      </c>
      <c r="D2" s="2" t="s">
        <v>22</v>
      </c>
    </row>
    <row r="3" spans="1:4" ht="28">
      <c r="A3" s="4" t="s">
        <v>23</v>
      </c>
      <c r="B3" s="5">
        <f>COUNTA(Data!G2:G61)</f>
        <v>60</v>
      </c>
      <c r="D3" s="2" t="s">
        <v>24</v>
      </c>
    </row>
    <row r="4" spans="1:4">
      <c r="A4" s="4" t="s">
        <v>25</v>
      </c>
      <c r="B4" s="5">
        <f>AVERAGE(Data!Q2:Q61)</f>
        <v>0.70833333333333282</v>
      </c>
      <c r="D4" s="2" t="s">
        <v>26</v>
      </c>
    </row>
    <row r="5" spans="1:4">
      <c r="A5" s="4" t="s">
        <v>27</v>
      </c>
      <c r="B5" s="5">
        <f>SQRT(AVERAGE(Data!P2:P61^2))</f>
        <v>0.29999999999999716</v>
      </c>
    </row>
    <row r="6" spans="1:4">
      <c r="A6" s="4" t="s">
        <v>28</v>
      </c>
      <c r="B6" s="5">
        <f>MAX(Data!Q2:Q61)</f>
        <v>2.2000000000000028</v>
      </c>
    </row>
    <row r="7" spans="1:4">
      <c r="A7" s="4" t="s">
        <v>29</v>
      </c>
      <c r="B7" s="5">
        <f>STDEV(C38:C97)</f>
        <v>1.6886953811731349</v>
      </c>
    </row>
    <row r="8" spans="1:4">
      <c r="A8" s="4" t="s">
        <v>30</v>
      </c>
      <c r="B8" s="6">
        <f>COUNTIF(Data!I2:I61,"0")/COUNTA(Data!I2:I61)</f>
        <v>0</v>
      </c>
    </row>
    <row r="9" spans="1:4">
      <c r="A9" s="4" t="s">
        <v>31</v>
      </c>
      <c r="B9" s="5">
        <f>AVERAGE(Data!H2:H61)</f>
        <v>0.8218333333333333</v>
      </c>
    </row>
    <row r="12" spans="1:4">
      <c r="A12" s="9" t="s">
        <v>32</v>
      </c>
      <c r="B12" s="8" t="s">
        <v>33</v>
      </c>
      <c r="C12" s="8" t="s">
        <v>34</v>
      </c>
      <c r="D12" s="8" t="s">
        <v>35</v>
      </c>
    </row>
    <row r="13" spans="1:4">
      <c r="A13" s="9">
        <v>1</v>
      </c>
      <c r="B13" s="8" t="e">
        <f>Data!#REF!</f>
        <v>#REF!</v>
      </c>
      <c r="C13" s="8" t="e">
        <f>Data!#REF!</f>
        <v>#REF!</v>
      </c>
      <c r="D13" s="8" t="e">
        <f>Data!#REF!</f>
        <v>#REF!</v>
      </c>
    </row>
    <row r="14" spans="1:4">
      <c r="A14" s="9">
        <v>2</v>
      </c>
      <c r="B14" s="8" t="e">
        <f>Data!#REF!</f>
        <v>#REF!</v>
      </c>
      <c r="C14" s="8" t="e">
        <f>Data!#REF!</f>
        <v>#REF!</v>
      </c>
      <c r="D14" s="8" t="e">
        <f>Data!#REF!</f>
        <v>#REF!</v>
      </c>
    </row>
    <row r="15" spans="1:4">
      <c r="A15" s="9">
        <v>3</v>
      </c>
      <c r="B15" s="8" t="e">
        <f>Data!#REF!</f>
        <v>#REF!</v>
      </c>
      <c r="C15" s="8" t="e">
        <f>Data!#REF!</f>
        <v>#REF!</v>
      </c>
      <c r="D15" s="8" t="e">
        <f>Data!#REF!</f>
        <v>#REF!</v>
      </c>
    </row>
    <row r="16" spans="1:4">
      <c r="A16" s="9">
        <v>4</v>
      </c>
      <c r="B16" s="8" t="e">
        <f>Data!#REF!</f>
        <v>#REF!</v>
      </c>
      <c r="C16" s="8" t="e">
        <f>Data!#REF!</f>
        <v>#REF!</v>
      </c>
      <c r="D16" s="8" t="e">
        <f>Data!#REF!</f>
        <v>#REF!</v>
      </c>
    </row>
    <row r="17" spans="1:4">
      <c r="A17" s="9">
        <v>5</v>
      </c>
      <c r="B17" s="8" t="e">
        <f>Data!#REF!</f>
        <v>#REF!</v>
      </c>
      <c r="C17" s="8" t="e">
        <f>Data!#REF!</f>
        <v>#REF!</v>
      </c>
      <c r="D17" s="8" t="e">
        <f>Data!#REF!</f>
        <v>#REF!</v>
      </c>
    </row>
    <row r="18" spans="1:4">
      <c r="A18" s="9">
        <v>6</v>
      </c>
      <c r="B18" s="8" t="e">
        <f>Data!#REF!</f>
        <v>#REF!</v>
      </c>
      <c r="C18" s="8" t="e">
        <f>Data!#REF!</f>
        <v>#REF!</v>
      </c>
      <c r="D18" s="8" t="e">
        <f>Data!#REF!</f>
        <v>#REF!</v>
      </c>
    </row>
    <row r="19" spans="1:4">
      <c r="A19" s="9">
        <v>7</v>
      </c>
      <c r="B19" s="8" t="e">
        <f>Data!#REF!</f>
        <v>#REF!</v>
      </c>
      <c r="C19" s="8" t="e">
        <f>Data!#REF!</f>
        <v>#REF!</v>
      </c>
      <c r="D19" s="8" t="e">
        <f>Data!#REF!</f>
        <v>#REF!</v>
      </c>
    </row>
    <row r="20" spans="1:4">
      <c r="A20" s="9">
        <v>8</v>
      </c>
      <c r="B20" s="8" t="e">
        <f>Data!#REF!</f>
        <v>#REF!</v>
      </c>
      <c r="C20" s="8" t="e">
        <f>Data!#REF!</f>
        <v>#REF!</v>
      </c>
      <c r="D20" s="8" t="e">
        <f>Data!#REF!</f>
        <v>#REF!</v>
      </c>
    </row>
    <row r="21" spans="1:4">
      <c r="A21" s="9">
        <v>9</v>
      </c>
      <c r="B21" s="8" t="e">
        <f>Data!#REF!</f>
        <v>#REF!</v>
      </c>
      <c r="C21" s="8" t="e">
        <f>Data!#REF!</f>
        <v>#REF!</v>
      </c>
      <c r="D21" s="8" t="e">
        <f>Data!#REF!</f>
        <v>#REF!</v>
      </c>
    </row>
    <row r="22" spans="1:4">
      <c r="A22" s="9">
        <v>10</v>
      </c>
      <c r="B22" s="8" t="e">
        <f>Data!#REF!</f>
        <v>#REF!</v>
      </c>
      <c r="C22" s="8" t="e">
        <f>Data!#REF!</f>
        <v>#REF!</v>
      </c>
      <c r="D22" s="8" t="e">
        <f>Data!#REF!</f>
        <v>#REF!</v>
      </c>
    </row>
    <row r="23" spans="1:4">
      <c r="A23" s="9">
        <v>11</v>
      </c>
      <c r="B23" s="8" t="e">
        <f>Data!#REF!</f>
        <v>#REF!</v>
      </c>
      <c r="C23" s="8" t="e">
        <f>Data!#REF!</f>
        <v>#REF!</v>
      </c>
      <c r="D23" s="8" t="e">
        <f>Data!#REF!</f>
        <v>#REF!</v>
      </c>
    </row>
    <row r="24" spans="1:4">
      <c r="A24" s="9">
        <v>12</v>
      </c>
      <c r="B24" s="8" t="e">
        <f>Data!#REF!</f>
        <v>#REF!</v>
      </c>
      <c r="C24" s="8" t="e">
        <f>Data!#REF!</f>
        <v>#REF!</v>
      </c>
      <c r="D24" s="8" t="e">
        <f>Data!#REF!</f>
        <v>#REF!</v>
      </c>
    </row>
    <row r="25" spans="1:4">
      <c r="A25" s="9">
        <v>13</v>
      </c>
      <c r="B25" s="8" t="e">
        <f>Data!#REF!</f>
        <v>#REF!</v>
      </c>
      <c r="C25" s="8" t="e">
        <f>Data!#REF!</f>
        <v>#REF!</v>
      </c>
      <c r="D25" s="8" t="e">
        <f>Data!#REF!</f>
        <v>#REF!</v>
      </c>
    </row>
    <row r="26" spans="1:4">
      <c r="A26" s="9">
        <v>14</v>
      </c>
      <c r="B26" s="8" t="e">
        <f>Data!#REF!</f>
        <v>#REF!</v>
      </c>
      <c r="C26" s="8" t="e">
        <f>Data!#REF!</f>
        <v>#REF!</v>
      </c>
      <c r="D26" s="8" t="e">
        <f>Data!#REF!</f>
        <v>#REF!</v>
      </c>
    </row>
    <row r="27" spans="1:4">
      <c r="A27" s="9">
        <v>15</v>
      </c>
      <c r="B27" s="8" t="e">
        <f>Data!#REF!</f>
        <v>#REF!</v>
      </c>
      <c r="C27" s="8" t="e">
        <f>Data!#REF!</f>
        <v>#REF!</v>
      </c>
      <c r="D27" s="8" t="e">
        <f>Data!#REF!</f>
        <v>#REF!</v>
      </c>
    </row>
    <row r="28" spans="1:4">
      <c r="A28" s="9">
        <v>16</v>
      </c>
      <c r="B28" s="8" t="e">
        <f>Data!#REF!</f>
        <v>#REF!</v>
      </c>
      <c r="C28" s="8" t="e">
        <f>Data!#REF!</f>
        <v>#REF!</v>
      </c>
      <c r="D28" s="8" t="e">
        <f>Data!#REF!</f>
        <v>#REF!</v>
      </c>
    </row>
    <row r="29" spans="1:4">
      <c r="A29" s="9">
        <v>17</v>
      </c>
      <c r="B29" s="8" t="e">
        <f>Data!#REF!</f>
        <v>#REF!</v>
      </c>
      <c r="C29" s="8" t="e">
        <f>Data!#REF!</f>
        <v>#REF!</v>
      </c>
      <c r="D29" s="8" t="e">
        <f>Data!#REF!</f>
        <v>#REF!</v>
      </c>
    </row>
    <row r="30" spans="1:4">
      <c r="A30" s="9">
        <v>18</v>
      </c>
      <c r="B30" s="8" t="e">
        <f>Data!#REF!</f>
        <v>#REF!</v>
      </c>
      <c r="C30" s="8" t="e">
        <f>Data!#REF!</f>
        <v>#REF!</v>
      </c>
      <c r="D30" s="8" t="e">
        <f>Data!#REF!</f>
        <v>#REF!</v>
      </c>
    </row>
    <row r="31" spans="1:4">
      <c r="A31" s="9">
        <v>19</v>
      </c>
      <c r="B31" s="8" t="e">
        <f>Data!#REF!</f>
        <v>#REF!</v>
      </c>
      <c r="C31" s="8" t="e">
        <f>Data!#REF!</f>
        <v>#REF!</v>
      </c>
      <c r="D31" s="8" t="e">
        <f>Data!#REF!</f>
        <v>#REF!</v>
      </c>
    </row>
    <row r="32" spans="1:4">
      <c r="A32" s="9">
        <v>20</v>
      </c>
      <c r="B32" s="8" t="e">
        <f>Data!#REF!</f>
        <v>#REF!</v>
      </c>
      <c r="C32" s="8" t="e">
        <f>Data!#REF!</f>
        <v>#REF!</v>
      </c>
      <c r="D32" s="8" t="e">
        <f>Data!#REF!</f>
        <v>#REF!</v>
      </c>
    </row>
    <row r="33" spans="1:4">
      <c r="A33" s="9">
        <v>21</v>
      </c>
      <c r="B33" s="8" t="e">
        <f>Data!#REF!</f>
        <v>#REF!</v>
      </c>
      <c r="C33" s="8" t="e">
        <f>Data!#REF!</f>
        <v>#REF!</v>
      </c>
      <c r="D33" s="8" t="e">
        <f>Data!#REF!</f>
        <v>#REF!</v>
      </c>
    </row>
    <row r="34" spans="1:4">
      <c r="A34" s="9">
        <v>22</v>
      </c>
      <c r="B34" s="8" t="e">
        <f>Data!#REF!</f>
        <v>#REF!</v>
      </c>
      <c r="C34" s="8" t="e">
        <f>Data!#REF!</f>
        <v>#REF!</v>
      </c>
      <c r="D34" s="8" t="e">
        <f>Data!#REF!</f>
        <v>#REF!</v>
      </c>
    </row>
    <row r="35" spans="1:4">
      <c r="A35" s="9">
        <v>23</v>
      </c>
      <c r="B35" s="8" t="e">
        <f>Data!#REF!</f>
        <v>#REF!</v>
      </c>
      <c r="C35" s="8" t="e">
        <f>Data!#REF!</f>
        <v>#REF!</v>
      </c>
      <c r="D35" s="8" t="e">
        <f>Data!#REF!</f>
        <v>#REF!</v>
      </c>
    </row>
    <row r="36" spans="1:4">
      <c r="A36" s="9">
        <v>24</v>
      </c>
      <c r="B36" s="8" t="e">
        <f>Data!#REF!</f>
        <v>#REF!</v>
      </c>
      <c r="C36" s="8" t="e">
        <f>Data!#REF!</f>
        <v>#REF!</v>
      </c>
      <c r="D36" s="8" t="e">
        <f>Data!#REF!</f>
        <v>#REF!</v>
      </c>
    </row>
    <row r="37" spans="1:4">
      <c r="A37" s="9">
        <v>25</v>
      </c>
      <c r="B37" s="8" t="e">
        <f>Data!#REF!</f>
        <v>#REF!</v>
      </c>
      <c r="C37" s="8" t="e">
        <f>Data!#REF!</f>
        <v>#REF!</v>
      </c>
      <c r="D37" s="8" t="e">
        <f>Data!#REF!</f>
        <v>#REF!</v>
      </c>
    </row>
    <row r="38" spans="1:4">
      <c r="A38" s="9">
        <v>26</v>
      </c>
      <c r="B38" s="8">
        <f>Data!O2</f>
        <v>90</v>
      </c>
      <c r="C38" s="8">
        <f>Data!G2</f>
        <v>88.7</v>
      </c>
      <c r="D38" s="8">
        <f>Data!Q2</f>
        <v>1.2999999999999972</v>
      </c>
    </row>
    <row r="39" spans="1:4">
      <c r="A39" s="9">
        <v>27</v>
      </c>
      <c r="B39" s="8">
        <f>Data!O3</f>
        <v>90</v>
      </c>
      <c r="C39" s="8">
        <f>Data!G3</f>
        <v>90.4</v>
      </c>
      <c r="D39" s="8">
        <f>Data!Q3</f>
        <v>0.40000000000000568</v>
      </c>
    </row>
    <row r="40" spans="1:4">
      <c r="A40" s="9">
        <v>28</v>
      </c>
      <c r="B40" s="8">
        <f>Data!O4</f>
        <v>92</v>
      </c>
      <c r="C40" s="8">
        <f>Data!G4</f>
        <v>91.7</v>
      </c>
      <c r="D40" s="8">
        <f>Data!Q4</f>
        <v>0.29999999999999716</v>
      </c>
    </row>
    <row r="41" spans="1:4">
      <c r="A41" s="9">
        <v>29</v>
      </c>
      <c r="B41" s="8">
        <f>Data!O5</f>
        <v>92</v>
      </c>
      <c r="C41" s="8">
        <f>Data!G5</f>
        <v>92.3</v>
      </c>
      <c r="D41" s="8">
        <f>Data!Q5</f>
        <v>0.29999999999999716</v>
      </c>
    </row>
    <row r="42" spans="1:4">
      <c r="A42" s="9">
        <v>30</v>
      </c>
      <c r="B42" s="8">
        <f>Data!O6</f>
        <v>93</v>
      </c>
      <c r="C42" s="8">
        <f>Data!G6</f>
        <v>92.4</v>
      </c>
      <c r="D42" s="8">
        <f>Data!Q6</f>
        <v>0.59999999999999432</v>
      </c>
    </row>
    <row r="43" spans="1:4">
      <c r="A43" s="9">
        <v>31</v>
      </c>
      <c r="B43" s="8">
        <f>Data!O7</f>
        <v>93</v>
      </c>
      <c r="C43" s="8">
        <f>Data!G7</f>
        <v>92.6</v>
      </c>
      <c r="D43" s="8">
        <f>Data!Q7</f>
        <v>0.40000000000000568</v>
      </c>
    </row>
    <row r="44" spans="1:4">
      <c r="A44" s="9">
        <v>32</v>
      </c>
      <c r="B44" s="8">
        <f>Data!O8</f>
        <v>93</v>
      </c>
      <c r="C44" s="8">
        <f>Data!G8</f>
        <v>93.2</v>
      </c>
      <c r="D44" s="8">
        <f>Data!Q8</f>
        <v>0.20000000000000284</v>
      </c>
    </row>
    <row r="45" spans="1:4">
      <c r="A45" s="9">
        <v>33</v>
      </c>
      <c r="B45" s="8">
        <f>Data!O9</f>
        <v>93</v>
      </c>
      <c r="C45" s="8">
        <f>Data!G9</f>
        <v>93.4</v>
      </c>
      <c r="D45" s="8">
        <f>Data!Q9</f>
        <v>0.40000000000000568</v>
      </c>
    </row>
    <row r="46" spans="1:4">
      <c r="A46" s="9">
        <v>34</v>
      </c>
      <c r="B46" s="8">
        <f>Data!O10</f>
        <v>93</v>
      </c>
      <c r="C46" s="8">
        <f>Data!G10</f>
        <v>92.9</v>
      </c>
      <c r="D46" s="8">
        <f>Data!Q10</f>
        <v>9.9999999999994316E-2</v>
      </c>
    </row>
    <row r="47" spans="1:4">
      <c r="A47" s="9">
        <v>35</v>
      </c>
      <c r="B47" s="8">
        <f>Data!O11</f>
        <v>93</v>
      </c>
      <c r="C47" s="8">
        <f>Data!G11</f>
        <v>92</v>
      </c>
      <c r="D47" s="8">
        <f>Data!Q11</f>
        <v>1</v>
      </c>
    </row>
    <row r="48" spans="1:4">
      <c r="A48" s="9">
        <v>36</v>
      </c>
      <c r="B48" s="8">
        <f>Data!O12</f>
        <v>91</v>
      </c>
      <c r="C48" s="8">
        <f>Data!G12</f>
        <v>90.2</v>
      </c>
      <c r="D48" s="8">
        <f>Data!Q12</f>
        <v>0.79999999999999716</v>
      </c>
    </row>
    <row r="49" spans="1:4">
      <c r="A49" s="9">
        <v>37</v>
      </c>
      <c r="B49" s="8">
        <f>Data!O13</f>
        <v>90</v>
      </c>
      <c r="C49" s="8">
        <f>Data!G13</f>
        <v>90.4</v>
      </c>
      <c r="D49" s="8">
        <f>Data!Q13</f>
        <v>0.40000000000000568</v>
      </c>
    </row>
    <row r="50" spans="1:4">
      <c r="A50" s="9">
        <v>38</v>
      </c>
      <c r="B50" s="8">
        <f>Data!O14</f>
        <v>90</v>
      </c>
      <c r="C50" s="8">
        <f>Data!G14</f>
        <v>91</v>
      </c>
      <c r="D50" s="8">
        <f>Data!Q14</f>
        <v>1</v>
      </c>
    </row>
    <row r="51" spans="1:4">
      <c r="A51" s="9">
        <v>39</v>
      </c>
      <c r="B51" s="8">
        <f>Data!O15</f>
        <v>92</v>
      </c>
      <c r="C51" s="8">
        <f>Data!G15</f>
        <v>92.1</v>
      </c>
      <c r="D51" s="8">
        <f>Data!Q15</f>
        <v>9.9999999999994316E-2</v>
      </c>
    </row>
    <row r="52" spans="1:4">
      <c r="A52" s="9">
        <v>40</v>
      </c>
      <c r="B52" s="8">
        <f>Data!O16</f>
        <v>92</v>
      </c>
      <c r="C52" s="8">
        <f>Data!G16</f>
        <v>93.1</v>
      </c>
      <c r="D52" s="8">
        <f>Data!Q16</f>
        <v>1.0999999999999943</v>
      </c>
    </row>
    <row r="53" spans="1:4">
      <c r="A53" s="9">
        <v>41</v>
      </c>
      <c r="B53" s="8">
        <f>Data!O17</f>
        <v>94</v>
      </c>
      <c r="C53" s="8">
        <f>Data!G17</f>
        <v>93.6</v>
      </c>
      <c r="D53" s="8">
        <f>Data!Q17</f>
        <v>0.40000000000000568</v>
      </c>
    </row>
    <row r="54" spans="1:4">
      <c r="A54" s="9">
        <v>42</v>
      </c>
      <c r="B54" s="8">
        <f>Data!O18</f>
        <v>94</v>
      </c>
      <c r="C54" s="8">
        <f>Data!G18</f>
        <v>93.9</v>
      </c>
      <c r="D54" s="8">
        <f>Data!Q18</f>
        <v>9.9999999999994316E-2</v>
      </c>
    </row>
    <row r="55" spans="1:4">
      <c r="A55" s="9">
        <v>43</v>
      </c>
      <c r="B55" s="8">
        <f>Data!O19</f>
        <v>94</v>
      </c>
      <c r="C55" s="8">
        <f>Data!G19</f>
        <v>93.8</v>
      </c>
      <c r="D55" s="8">
        <f>Data!Q19</f>
        <v>0.20000000000000284</v>
      </c>
    </row>
    <row r="56" spans="1:4">
      <c r="A56" s="9">
        <v>44</v>
      </c>
      <c r="B56" s="8">
        <f>Data!O20</f>
        <v>94</v>
      </c>
      <c r="C56" s="8">
        <f>Data!G20</f>
        <v>93.1</v>
      </c>
      <c r="D56" s="8">
        <f>Data!Q20</f>
        <v>0.90000000000000568</v>
      </c>
    </row>
    <row r="57" spans="1:4">
      <c r="A57" s="9">
        <v>45</v>
      </c>
      <c r="B57" s="8">
        <f>Data!O21</f>
        <v>94</v>
      </c>
      <c r="C57" s="8">
        <f>Data!G21</f>
        <v>92.7</v>
      </c>
      <c r="D57" s="8">
        <f>Data!Q21</f>
        <v>1.2999999999999972</v>
      </c>
    </row>
    <row r="58" spans="1:4">
      <c r="A58" s="9">
        <v>46</v>
      </c>
      <c r="B58" s="8">
        <f>Data!O22</f>
        <v>94</v>
      </c>
      <c r="C58" s="8">
        <f>Data!G22</f>
        <v>93.2</v>
      </c>
      <c r="D58" s="8">
        <f>Data!Q22</f>
        <v>0.79999999999999716</v>
      </c>
    </row>
    <row r="59" spans="1:4">
      <c r="A59" s="9">
        <v>47</v>
      </c>
      <c r="B59" s="8">
        <f>Data!O23</f>
        <v>95</v>
      </c>
      <c r="C59" s="8">
        <f>Data!G23</f>
        <v>94</v>
      </c>
      <c r="D59" s="8">
        <f>Data!Q23</f>
        <v>1</v>
      </c>
    </row>
    <row r="60" spans="1:4">
      <c r="A60" s="9">
        <v>48</v>
      </c>
      <c r="B60" s="8">
        <f>Data!O24</f>
        <v>95</v>
      </c>
      <c r="C60" s="8">
        <f>Data!G24</f>
        <v>94.5</v>
      </c>
      <c r="D60" s="8">
        <f>Data!Q24</f>
        <v>0.5</v>
      </c>
    </row>
    <row r="61" spans="1:4">
      <c r="A61" s="9">
        <v>49</v>
      </c>
      <c r="B61" s="8">
        <f>Data!O25</f>
        <v>96</v>
      </c>
      <c r="C61" s="8">
        <f>Data!G25</f>
        <v>94.9</v>
      </c>
      <c r="D61" s="8">
        <f>Data!Q25</f>
        <v>1.0999999999999943</v>
      </c>
    </row>
    <row r="62" spans="1:4">
      <c r="A62" s="9">
        <v>50</v>
      </c>
      <c r="B62" s="8">
        <f>Data!O26</f>
        <v>96</v>
      </c>
      <c r="C62" s="8">
        <f>Data!G26</f>
        <v>95.2</v>
      </c>
      <c r="D62" s="8">
        <f>Data!Q26</f>
        <v>0.79999999999999716</v>
      </c>
    </row>
    <row r="63" spans="1:4">
      <c r="A63" s="9">
        <v>51</v>
      </c>
      <c r="B63" s="8">
        <f>Data!O27</f>
        <v>96</v>
      </c>
      <c r="C63" s="8">
        <f>Data!G27</f>
        <v>95.2</v>
      </c>
      <c r="D63" s="8">
        <f>Data!Q27</f>
        <v>0.79999999999999716</v>
      </c>
    </row>
    <row r="64" spans="1:4">
      <c r="A64" s="9">
        <v>52</v>
      </c>
      <c r="B64" s="8">
        <f>Data!O28</f>
        <v>96</v>
      </c>
      <c r="C64" s="8">
        <f>Data!G28</f>
        <v>94.9</v>
      </c>
      <c r="D64" s="8">
        <f>Data!Q28</f>
        <v>1.0999999999999943</v>
      </c>
    </row>
    <row r="65" spans="1:4">
      <c r="A65" s="9">
        <v>53</v>
      </c>
      <c r="B65" s="8">
        <f>Data!O29</f>
        <v>96</v>
      </c>
      <c r="C65" s="8">
        <f>Data!G29</f>
        <v>95</v>
      </c>
      <c r="D65" s="8">
        <f>Data!Q29</f>
        <v>1</v>
      </c>
    </row>
    <row r="66" spans="1:4">
      <c r="A66" s="9">
        <v>54</v>
      </c>
      <c r="B66" s="8">
        <f>Data!O30</f>
        <v>95</v>
      </c>
      <c r="C66" s="8">
        <f>Data!G30</f>
        <v>95</v>
      </c>
      <c r="D66" s="8">
        <f>Data!Q30</f>
        <v>0</v>
      </c>
    </row>
    <row r="67" spans="1:4">
      <c r="A67" s="9">
        <v>55</v>
      </c>
      <c r="B67" s="8">
        <f>Data!O31</f>
        <v>95</v>
      </c>
      <c r="C67" s="8">
        <f>Data!G31</f>
        <v>94.5</v>
      </c>
      <c r="D67" s="8">
        <f>Data!Q31</f>
        <v>0.5</v>
      </c>
    </row>
    <row r="68" spans="1:4">
      <c r="A68" s="9">
        <v>56</v>
      </c>
      <c r="B68" s="8">
        <f>Data!O32</f>
        <v>94</v>
      </c>
      <c r="C68" s="8">
        <f>Data!G32</f>
        <v>93.6</v>
      </c>
      <c r="D68" s="8">
        <f>Data!Q32</f>
        <v>0.40000000000000568</v>
      </c>
    </row>
    <row r="69" spans="1:4">
      <c r="A69" s="9">
        <v>57</v>
      </c>
      <c r="B69" s="8">
        <f>Data!O33</f>
        <v>94</v>
      </c>
      <c r="C69" s="8">
        <f>Data!G33</f>
        <v>92.8</v>
      </c>
      <c r="D69" s="8">
        <f>Data!Q33</f>
        <v>1.2000000000000028</v>
      </c>
    </row>
    <row r="70" spans="1:4">
      <c r="A70" s="9">
        <v>58</v>
      </c>
      <c r="B70" s="8">
        <f>Data!O34</f>
        <v>93</v>
      </c>
      <c r="C70" s="8">
        <f>Data!G34</f>
        <v>92.6</v>
      </c>
      <c r="D70" s="8">
        <f>Data!Q34</f>
        <v>0.40000000000000568</v>
      </c>
    </row>
    <row r="71" spans="1:4">
      <c r="A71" s="9">
        <v>59</v>
      </c>
      <c r="B71" s="8">
        <f>Data!O35</f>
        <v>93</v>
      </c>
      <c r="C71" s="8">
        <f>Data!G35</f>
        <v>93.2</v>
      </c>
      <c r="D71" s="8">
        <f>Data!Q35</f>
        <v>0.20000000000000284</v>
      </c>
    </row>
    <row r="72" spans="1:4">
      <c r="A72" s="9">
        <v>60</v>
      </c>
      <c r="B72" s="8">
        <f>Data!O36</f>
        <v>94</v>
      </c>
      <c r="C72" s="8">
        <f>Data!G36</f>
        <v>94.3</v>
      </c>
      <c r="D72" s="8">
        <f>Data!Q36</f>
        <v>0.29999999999999716</v>
      </c>
    </row>
    <row r="73" spans="1:4">
      <c r="A73" s="9">
        <v>61</v>
      </c>
      <c r="B73" s="8">
        <f>Data!O37</f>
        <v>94</v>
      </c>
      <c r="C73" s="8">
        <f>Data!G37</f>
        <v>94.8</v>
      </c>
      <c r="D73" s="8">
        <f>Data!Q37</f>
        <v>0.79999999999999716</v>
      </c>
    </row>
    <row r="74" spans="1:4">
      <c r="A74" s="9">
        <v>62</v>
      </c>
      <c r="B74" s="8">
        <f>Data!O38</f>
        <v>95</v>
      </c>
      <c r="C74" s="8">
        <f>Data!G38</f>
        <v>94.1</v>
      </c>
      <c r="D74" s="8">
        <f>Data!Q38</f>
        <v>0.90000000000000568</v>
      </c>
    </row>
    <row r="75" spans="1:4">
      <c r="A75" s="9">
        <v>63</v>
      </c>
      <c r="B75" s="8">
        <f>Data!O39</f>
        <v>95</v>
      </c>
      <c r="C75" s="8">
        <f>Data!G39</f>
        <v>93.9</v>
      </c>
      <c r="D75" s="8">
        <f>Data!Q39</f>
        <v>1.0999999999999943</v>
      </c>
    </row>
    <row r="76" spans="1:4">
      <c r="A76" s="9">
        <v>64</v>
      </c>
      <c r="B76" s="8">
        <f>Data!O40</f>
        <v>95</v>
      </c>
      <c r="C76" s="8">
        <f>Data!G40</f>
        <v>94</v>
      </c>
      <c r="D76" s="8">
        <f>Data!Q40</f>
        <v>1</v>
      </c>
    </row>
    <row r="77" spans="1:4">
      <c r="A77" s="9">
        <v>65</v>
      </c>
      <c r="B77" s="8">
        <f>Data!O41</f>
        <v>95</v>
      </c>
      <c r="C77" s="8">
        <f>Data!G41</f>
        <v>93.1</v>
      </c>
      <c r="D77" s="8">
        <f>Data!Q41</f>
        <v>1.9000000000000057</v>
      </c>
    </row>
    <row r="78" spans="1:4">
      <c r="A78" s="9">
        <v>66</v>
      </c>
      <c r="B78" s="8">
        <f>Data!O42</f>
        <v>92</v>
      </c>
      <c r="C78" s="8">
        <f>Data!G42</f>
        <v>91.2</v>
      </c>
      <c r="D78" s="8">
        <f>Data!Q42</f>
        <v>0.79999999999999716</v>
      </c>
    </row>
    <row r="79" spans="1:4">
      <c r="A79" s="9">
        <v>67</v>
      </c>
      <c r="B79" s="8">
        <f>Data!O43</f>
        <v>92</v>
      </c>
      <c r="C79" s="8">
        <f>Data!G43</f>
        <v>89.8</v>
      </c>
      <c r="D79" s="8">
        <f>Data!Q43</f>
        <v>2.2000000000000028</v>
      </c>
    </row>
    <row r="80" spans="1:4">
      <c r="A80" s="9">
        <v>68</v>
      </c>
      <c r="B80" s="8">
        <f>Data!O44</f>
        <v>90</v>
      </c>
      <c r="C80" s="8">
        <f>Data!G44</f>
        <v>89.5</v>
      </c>
      <c r="D80" s="8">
        <f>Data!Q44</f>
        <v>0.5</v>
      </c>
    </row>
    <row r="81" spans="1:4">
      <c r="A81" s="9">
        <v>69</v>
      </c>
      <c r="B81" s="8">
        <f>Data!O45</f>
        <v>90</v>
      </c>
      <c r="C81" s="8">
        <f>Data!G45</f>
        <v>89.9</v>
      </c>
      <c r="D81" s="8">
        <f>Data!Q45</f>
        <v>9.9999999999994316E-2</v>
      </c>
    </row>
    <row r="82" spans="1:4">
      <c r="A82" s="9">
        <v>70</v>
      </c>
      <c r="B82" s="8">
        <f>Data!O46</f>
        <v>89</v>
      </c>
      <c r="C82" s="8">
        <f>Data!G46</f>
        <v>90.1</v>
      </c>
      <c r="D82" s="8">
        <f>Data!Q46</f>
        <v>1.0999999999999943</v>
      </c>
    </row>
    <row r="83" spans="1:4">
      <c r="A83" s="9">
        <v>71</v>
      </c>
      <c r="B83" s="8">
        <f>Data!O47</f>
        <v>90</v>
      </c>
      <c r="C83" s="8">
        <f>Data!G47</f>
        <v>88.8</v>
      </c>
      <c r="D83" s="8">
        <f>Data!Q47</f>
        <v>1.2000000000000028</v>
      </c>
    </row>
    <row r="84" spans="1:4">
      <c r="A84" s="9">
        <v>72</v>
      </c>
      <c r="B84" s="8">
        <f>Data!O48</f>
        <v>90</v>
      </c>
      <c r="C84" s="8">
        <f>Data!G48</f>
        <v>89.4</v>
      </c>
      <c r="D84" s="8">
        <f>Data!Q48</f>
        <v>0.59999999999999432</v>
      </c>
    </row>
    <row r="85" spans="1:4">
      <c r="A85" s="9">
        <v>73</v>
      </c>
      <c r="B85" s="8">
        <f>Data!O49</f>
        <v>91</v>
      </c>
      <c r="C85" s="8">
        <f>Data!G49</f>
        <v>90.7</v>
      </c>
      <c r="D85" s="8">
        <f>Data!Q49</f>
        <v>0.29999999999999716</v>
      </c>
    </row>
    <row r="86" spans="1:4">
      <c r="A86" s="9">
        <v>74</v>
      </c>
      <c r="B86" s="8">
        <f>Data!O50</f>
        <v>91</v>
      </c>
      <c r="C86" s="8">
        <f>Data!G50</f>
        <v>91.7</v>
      </c>
      <c r="D86" s="8">
        <f>Data!Q50</f>
        <v>0.70000000000000284</v>
      </c>
    </row>
    <row r="87" spans="1:4">
      <c r="A87" s="9">
        <v>75</v>
      </c>
      <c r="B87" s="8">
        <f>Data!O51</f>
        <v>94</v>
      </c>
      <c r="C87" s="8">
        <f>Data!G51</f>
        <v>92.3</v>
      </c>
      <c r="D87" s="8">
        <f>Data!Q51</f>
        <v>1.7000000000000028</v>
      </c>
    </row>
    <row r="88" spans="1:4">
      <c r="A88" s="9">
        <v>76</v>
      </c>
      <c r="B88" s="8">
        <f>Data!O52</f>
        <v>94</v>
      </c>
      <c r="C88" s="8">
        <f>Data!G52</f>
        <v>92.9</v>
      </c>
      <c r="D88" s="8">
        <f>Data!Q52</f>
        <v>1.0999999999999943</v>
      </c>
    </row>
    <row r="89" spans="1:4">
      <c r="A89" s="9">
        <v>77</v>
      </c>
      <c r="B89" s="8">
        <f>Data!O53</f>
        <v>94</v>
      </c>
      <c r="C89" s="8">
        <f>Data!G53</f>
        <v>93.5</v>
      </c>
      <c r="D89" s="8">
        <f>Data!Q53</f>
        <v>0.5</v>
      </c>
    </row>
    <row r="90" spans="1:4">
      <c r="A90" s="9">
        <v>78</v>
      </c>
      <c r="B90" s="8">
        <f>Data!O54</f>
        <v>94</v>
      </c>
      <c r="C90" s="8">
        <f>Data!G54</f>
        <v>93.6</v>
      </c>
      <c r="D90" s="8">
        <f>Data!Q54</f>
        <v>0.40000000000000568</v>
      </c>
    </row>
    <row r="91" spans="1:4">
      <c r="A91" s="9">
        <v>79</v>
      </c>
      <c r="B91" s="8">
        <f>Data!O55</f>
        <v>93</v>
      </c>
      <c r="C91" s="8">
        <f>Data!G55</f>
        <v>93.2</v>
      </c>
      <c r="D91" s="8">
        <f>Data!Q55</f>
        <v>0.20000000000000284</v>
      </c>
    </row>
    <row r="92" spans="1:4">
      <c r="A92" s="9">
        <v>80</v>
      </c>
      <c r="B92" s="8">
        <f>Data!O56</f>
        <v>93</v>
      </c>
      <c r="C92" s="8">
        <f>Data!G56</f>
        <v>92.5</v>
      </c>
      <c r="D92" s="8">
        <f>Data!Q56</f>
        <v>0.5</v>
      </c>
    </row>
    <row r="93" spans="1:4">
      <c r="A93" s="9">
        <v>81</v>
      </c>
      <c r="B93" s="8">
        <f>Data!O57</f>
        <v>93</v>
      </c>
      <c r="C93" s="8">
        <f>Data!G57</f>
        <v>92.4</v>
      </c>
      <c r="D93" s="8">
        <f>Data!Q57</f>
        <v>0.59999999999999432</v>
      </c>
    </row>
    <row r="94" spans="1:4">
      <c r="A94" s="9">
        <v>82</v>
      </c>
      <c r="B94" s="8">
        <f>Data!O58</f>
        <v>93</v>
      </c>
      <c r="C94" s="8">
        <f>Data!G58</f>
        <v>92.5</v>
      </c>
      <c r="D94" s="8">
        <f>Data!Q58</f>
        <v>0.5</v>
      </c>
    </row>
    <row r="95" spans="1:4">
      <c r="A95" s="9">
        <v>83</v>
      </c>
      <c r="B95" s="8">
        <f>Data!O59</f>
        <v>94</v>
      </c>
      <c r="C95" s="8">
        <f>Data!G59</f>
        <v>92.9</v>
      </c>
      <c r="D95" s="8">
        <f>Data!Q59</f>
        <v>1.0999999999999943</v>
      </c>
    </row>
    <row r="96" spans="1:4">
      <c r="A96" s="9">
        <v>84</v>
      </c>
      <c r="B96" s="8">
        <f>Data!O60</f>
        <v>94</v>
      </c>
      <c r="C96" s="8">
        <f>Data!G60</f>
        <v>93.7</v>
      </c>
      <c r="D96" s="8">
        <f>Data!Q60</f>
        <v>0.29999999999999716</v>
      </c>
    </row>
    <row r="97" spans="1:4">
      <c r="A97" s="9">
        <v>85</v>
      </c>
      <c r="B97" s="8">
        <f>Data!O61</f>
        <v>95</v>
      </c>
      <c r="C97" s="8">
        <f>Data!G61</f>
        <v>94</v>
      </c>
      <c r="D97" s="8">
        <f>Data!Q61</f>
        <v>1</v>
      </c>
    </row>
    <row r="98" spans="1:4">
      <c r="A98" s="9">
        <v>86</v>
      </c>
      <c r="B98" s="8" t="e">
        <f>Data!#REF!</f>
        <v>#REF!</v>
      </c>
      <c r="C98" s="8" t="e">
        <f>Data!#REF!</f>
        <v>#REF!</v>
      </c>
      <c r="D98" s="8" t="e">
        <f>Data!#REF!</f>
        <v>#REF!</v>
      </c>
    </row>
    <row r="99" spans="1:4">
      <c r="A99" s="9">
        <v>87</v>
      </c>
      <c r="B99" s="8" t="e">
        <f>Data!#REF!</f>
        <v>#REF!</v>
      </c>
      <c r="C99" s="8" t="e">
        <f>Data!#REF!</f>
        <v>#REF!</v>
      </c>
      <c r="D99" s="8" t="e">
        <f>Data!#REF!</f>
        <v>#REF!</v>
      </c>
    </row>
    <row r="100" spans="1:4">
      <c r="A100" s="9">
        <v>88</v>
      </c>
      <c r="B100" s="8" t="e">
        <f>Data!#REF!</f>
        <v>#REF!</v>
      </c>
      <c r="C100" s="8" t="e">
        <f>Data!#REF!</f>
        <v>#REF!</v>
      </c>
      <c r="D100" s="8" t="e">
        <f>Data!#REF!</f>
        <v>#REF!</v>
      </c>
    </row>
    <row r="101" spans="1:4">
      <c r="A101" s="9">
        <v>89</v>
      </c>
      <c r="B101" s="8" t="e">
        <f>Data!#REF!</f>
        <v>#REF!</v>
      </c>
      <c r="C101" s="8" t="e">
        <f>Data!#REF!</f>
        <v>#REF!</v>
      </c>
      <c r="D101" s="8" t="e">
        <f>Data!#REF!</f>
        <v>#REF!</v>
      </c>
    </row>
    <row r="102" spans="1:4">
      <c r="A102" s="9">
        <v>90</v>
      </c>
      <c r="B102" s="8" t="e">
        <f>Data!#REF!</f>
        <v>#REF!</v>
      </c>
      <c r="C102" s="8" t="e">
        <f>Data!#REF!</f>
        <v>#REF!</v>
      </c>
      <c r="D102" s="8" t="e">
        <f>Data!#REF!</f>
        <v>#REF!</v>
      </c>
    </row>
    <row r="103" spans="1:4">
      <c r="A103" s="9">
        <v>91</v>
      </c>
      <c r="B103" s="8" t="e">
        <f>Data!#REF!</f>
        <v>#REF!</v>
      </c>
      <c r="C103" s="8" t="e">
        <f>Data!#REF!</f>
        <v>#REF!</v>
      </c>
      <c r="D103" s="8" t="e">
        <f>Data!#REF!</f>
        <v>#REF!</v>
      </c>
    </row>
    <row r="104" spans="1:4">
      <c r="A104" s="9">
        <v>92</v>
      </c>
      <c r="B104" s="8" t="e">
        <f>Data!#REF!</f>
        <v>#REF!</v>
      </c>
      <c r="C104" s="8" t="e">
        <f>Data!#REF!</f>
        <v>#REF!</v>
      </c>
      <c r="D104" s="8" t="e">
        <f>Data!#REF!</f>
        <v>#REF!</v>
      </c>
    </row>
    <row r="105" spans="1:4">
      <c r="A105" s="9">
        <v>93</v>
      </c>
      <c r="B105" s="8" t="e">
        <f>Data!#REF!</f>
        <v>#REF!</v>
      </c>
      <c r="C105" s="8" t="e">
        <f>Data!#REF!</f>
        <v>#REF!</v>
      </c>
      <c r="D105" s="8" t="e">
        <f>Data!#REF!</f>
        <v>#REF!</v>
      </c>
    </row>
    <row r="106" spans="1:4">
      <c r="A106" s="9">
        <v>94</v>
      </c>
      <c r="B106" s="8" t="e">
        <f>Data!#REF!</f>
        <v>#REF!</v>
      </c>
      <c r="C106" s="8" t="e">
        <f>Data!#REF!</f>
        <v>#REF!</v>
      </c>
      <c r="D106" s="8" t="e">
        <f>Data!#REF!</f>
        <v>#REF!</v>
      </c>
    </row>
    <row r="107" spans="1:4">
      <c r="A107" s="9">
        <v>95</v>
      </c>
      <c r="B107" s="8" t="e">
        <f>Data!#REF!</f>
        <v>#REF!</v>
      </c>
      <c r="C107" s="8" t="e">
        <f>Data!#REF!</f>
        <v>#REF!</v>
      </c>
      <c r="D107" s="8" t="e">
        <f>Data!#REF!</f>
        <v>#REF!</v>
      </c>
    </row>
    <row r="108" spans="1:4">
      <c r="A108" s="9">
        <v>96</v>
      </c>
      <c r="B108" s="8" t="e">
        <f>Data!#REF!</f>
        <v>#REF!</v>
      </c>
      <c r="C108" s="8" t="e">
        <f>Data!#REF!</f>
        <v>#REF!</v>
      </c>
      <c r="D108" s="8" t="e">
        <f>Data!#REF!</f>
        <v>#REF!</v>
      </c>
    </row>
    <row r="109" spans="1:4">
      <c r="A109" s="9">
        <v>97</v>
      </c>
      <c r="B109" s="8" t="e">
        <f>Data!#REF!</f>
        <v>#REF!</v>
      </c>
      <c r="C109" s="8" t="e">
        <f>Data!#REF!</f>
        <v>#REF!</v>
      </c>
      <c r="D109" s="8" t="e">
        <f>Data!#REF!</f>
        <v>#REF!</v>
      </c>
    </row>
    <row r="110" spans="1:4">
      <c r="A110" s="9">
        <v>98</v>
      </c>
      <c r="B110" s="8" t="e">
        <f>Data!#REF!</f>
        <v>#REF!</v>
      </c>
      <c r="C110" s="8" t="e">
        <f>Data!#REF!</f>
        <v>#REF!</v>
      </c>
      <c r="D110" s="8" t="e">
        <f>Data!#REF!</f>
        <v>#REF!</v>
      </c>
    </row>
    <row r="111" spans="1:4">
      <c r="A111" s="9">
        <v>99</v>
      </c>
      <c r="B111" s="8" t="e">
        <f>Data!#REF!</f>
        <v>#REF!</v>
      </c>
      <c r="C111" s="8" t="e">
        <f>Data!#REF!</f>
        <v>#REF!</v>
      </c>
      <c r="D111" s="8" t="e">
        <f>Data!#REF!</f>
        <v>#REF!</v>
      </c>
    </row>
    <row r="112" spans="1:4">
      <c r="A112" s="9">
        <v>100</v>
      </c>
      <c r="B112" s="8" t="e">
        <f>Data!#REF!</f>
        <v>#REF!</v>
      </c>
      <c r="C112" s="8" t="e">
        <f>Data!#REF!</f>
        <v>#REF!</v>
      </c>
      <c r="D112" s="8" t="e">
        <f>Data!#REF!</f>
        <v>#REF!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Jehyung Han</cp:lastModifiedBy>
  <dcterms:modified xsi:type="dcterms:W3CDTF">2026-06-13T15:18:09Z</dcterms:modified>
</cp:coreProperties>
</file>