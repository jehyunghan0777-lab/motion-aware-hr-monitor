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_projects\Git\motion-aware-hr-monitor\data\results\"/>
    </mc:Choice>
  </mc:AlternateContent>
  <xr:revisionPtr revIDLastSave="0" documentId="13_ncr:1_{22EE9692-BCC5-47BD-8421-C4C1E573BA5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/>
  <c r="B8" i="2"/>
  <c r="B12" i="2"/>
  <c r="B11" i="2"/>
  <c r="B10" i="2"/>
  <c r="B9" i="2"/>
  <c r="B4" i="2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6" i="2" l="1"/>
  <c r="Q61" i="1"/>
  <c r="Q60" i="1"/>
  <c r="Q32" i="1"/>
  <c r="Q31" i="1"/>
  <c r="Q30" i="1"/>
  <c r="Q29" i="1"/>
  <c r="Q28" i="1"/>
  <c r="Q27" i="1"/>
  <c r="Q25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4" i="1"/>
  <c r="Q2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5" i="1"/>
  <c r="Q44" i="1"/>
  <c r="Q43" i="1"/>
  <c r="Q42" i="1"/>
  <c r="Q41" i="1"/>
  <c r="Q40" i="1"/>
  <c r="Q38" i="1"/>
  <c r="Q37" i="1"/>
  <c r="Q36" i="1"/>
  <c r="Q35" i="1"/>
  <c r="Q34" i="1"/>
  <c r="Q33" i="1"/>
  <c r="Q9" i="1"/>
  <c r="Q46" i="1"/>
  <c r="Q8" i="1"/>
  <c r="Q39" i="1"/>
  <c r="Q7" i="1"/>
  <c r="Q5" i="1"/>
  <c r="Q26" i="1"/>
  <c r="Q3" i="1"/>
  <c r="Q6" i="1"/>
  <c r="G5" i="2" l="1"/>
  <c r="B5" i="2"/>
  <c r="G4" i="2" s="1"/>
  <c r="B7" i="2"/>
  <c r="G6" i="2" s="1"/>
</calcChain>
</file>

<file path=xl/sharedStrings.xml><?xml version="1.0" encoding="utf-8"?>
<sst xmlns="http://schemas.openxmlformats.org/spreadsheetml/2006/main" count="117" uniqueCount="50">
  <si>
    <t>hr_fft</t>
  </si>
  <si>
    <t>conf_fft</t>
  </si>
  <si>
    <t>peak_hz</t>
  </si>
  <si>
    <t>peak_ratio</t>
  </si>
  <si>
    <t>k_peaks</t>
  </si>
  <si>
    <t>hr_final</t>
  </si>
  <si>
    <t>conf_final</t>
  </si>
  <si>
    <t>mode</t>
  </si>
  <si>
    <t>s_motion</t>
  </si>
  <si>
    <t>s_freq</t>
  </si>
  <si>
    <t>motion_high</t>
  </si>
  <si>
    <t>freq_bad</t>
  </si>
  <si>
    <t>motion</t>
  </si>
  <si>
    <t>external_hr</t>
  </si>
  <si>
    <t>error_bpm</t>
  </si>
  <si>
    <t>abs_error_bpm</t>
  </si>
  <si>
    <t>FREQ</t>
  </si>
  <si>
    <t>HOLD</t>
  </si>
  <si>
    <t>3Hz Final HR Performance Summary</t>
  </si>
  <si>
    <t>Metric</t>
  </si>
  <si>
    <t>Formula/Value</t>
  </si>
  <si>
    <t>Unit</t>
  </si>
  <si>
    <t>Description</t>
  </si>
  <si>
    <t>Value</t>
  </si>
  <si>
    <t>Samples</t>
  </si>
  <si>
    <t>windows</t>
  </si>
  <si>
    <t>Number of analyzed windows</t>
  </si>
  <si>
    <t>MAE</t>
  </si>
  <si>
    <t>BPM</t>
  </si>
  <si>
    <t>Mean absolute error vs external HR</t>
  </si>
  <si>
    <t>RMSE</t>
  </si>
  <si>
    <t>Root mean square error vs external HR</t>
  </si>
  <si>
    <t>Max Error</t>
  </si>
  <si>
    <t>Maximum absolute error</t>
  </si>
  <si>
    <t>HR Std Dev</t>
  </si>
  <si>
    <t>Standard deviation of final HR output</t>
  </si>
  <si>
    <t>Hold Mode %</t>
  </si>
  <si>
    <t>%</t>
  </si>
  <si>
    <t>Percentage of windows where final output was held</t>
  </si>
  <si>
    <t>Mean Confidence</t>
  </si>
  <si>
    <t>score</t>
  </si>
  <si>
    <t>Average final confidence value</t>
  </si>
  <si>
    <t>Mean External HR</t>
  </si>
  <si>
    <t>Average reference HR</t>
  </si>
  <si>
    <t>Mean Final HR</t>
  </si>
  <si>
    <t>Average final estimated HR</t>
  </si>
  <si>
    <t>Notes</t>
  </si>
  <si>
    <t>Computed error is final HR minus external reference HR; absolute error is used for MAE and max error.</t>
  </si>
  <si>
    <t>seconds</t>
  </si>
  <si>
    <t>This workbook was generated from the filtered 60-row CSV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</si>
</sst>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8A"/>
      </patternFill>
    </fill>
    <fill>
      <patternFill patternType="solid">
        <fgColor rgb="FFE0F2F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0" fontId="3" fillId="4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Error</c:v>
          </c:tx>
          <c:invertIfNegative val="1"/>
          <c:cat>
            <c:strRef>
              <c:f>Summary!$F$4:$F$6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Max Error</c:v>
                </c:pt>
              </c:strCache>
            </c:strRef>
          </c:cat>
          <c:val>
            <c:numRef>
              <c:f>Summary!$G$4:$G$6</c:f>
              <c:numCache>
                <c:formatCode>General</c:formatCode>
                <c:ptCount val="3"/>
                <c:pt idx="0">
                  <c:v>1.1933333333333329</c:v>
                </c:pt>
                <c:pt idx="1">
                  <c:v>1.4110279940525638</c:v>
                </c:pt>
                <c:pt idx="2">
                  <c:v>3.2000000000000028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1-45BD-9DA2-F91A0C92B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_3Hz" displayName="DataTable_3Hz" ref="A1:Q61">
  <tableColumns count="17">
    <tableColumn id="1" xr3:uid="{00000000-0010-0000-0000-000001000000}" name="seconds"/>
    <tableColumn id="2" xr3:uid="{00000000-0010-0000-0000-000002000000}" name="hr_fft"/>
    <tableColumn id="3" xr3:uid="{00000000-0010-0000-0000-000003000000}" name="conf_fft"/>
    <tableColumn id="4" xr3:uid="{00000000-0010-0000-0000-000004000000}" name="peak_hz"/>
    <tableColumn id="5" xr3:uid="{00000000-0010-0000-0000-000005000000}" name="peak_ratio"/>
    <tableColumn id="6" xr3:uid="{00000000-0010-0000-0000-000006000000}" name="k_peaks"/>
    <tableColumn id="7" xr3:uid="{00000000-0010-0000-0000-000007000000}" name="hr_final"/>
    <tableColumn id="8" xr3:uid="{00000000-0010-0000-0000-000008000000}" name="conf_final"/>
    <tableColumn id="9" xr3:uid="{00000000-0010-0000-0000-000009000000}" name="mode"/>
    <tableColumn id="10" xr3:uid="{00000000-0010-0000-0000-00000A000000}" name="s_motion"/>
    <tableColumn id="11" xr3:uid="{00000000-0010-0000-0000-00000B000000}" name="s_freq"/>
    <tableColumn id="12" xr3:uid="{00000000-0010-0000-0000-00000C000000}" name="motion_high"/>
    <tableColumn id="13" xr3:uid="{00000000-0010-0000-0000-00000D000000}" name="freq_bad"/>
    <tableColumn id="14" xr3:uid="{00000000-0010-0000-0000-00000E000000}" name="motion"/>
    <tableColumn id="15" xr3:uid="{00000000-0010-0000-0000-00000F000000}" name="external_hr"/>
    <tableColumn id="16" xr3:uid="{00000000-0010-0000-0000-000010000000}" name="error_bpm"/>
    <tableColumn id="17" xr3:uid="{00000000-0010-0000-0000-000011000000}" name="abs_error_bp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opLeftCell="A15" workbookViewId="0">
      <selection activeCell="Q24" sqref="Q24"/>
    </sheetView>
  </sheetViews>
  <sheetFormatPr defaultRowHeight="14"/>
  <cols>
    <col min="1" max="1" width="8.33203125" customWidth="1"/>
    <col min="2" max="2" width="4.4140625" customWidth="1"/>
    <col min="3" max="3" width="6.33203125" customWidth="1"/>
    <col min="4" max="4" width="6.75" customWidth="1"/>
    <col min="5" max="5" width="8.75" customWidth="1"/>
    <col min="6" max="6" width="6.58203125" customWidth="1"/>
    <col min="7" max="7" width="6.33203125" customWidth="1"/>
    <col min="8" max="8" width="8.08203125" customWidth="1"/>
    <col min="9" max="9" width="4.6640625" customWidth="1"/>
    <col min="10" max="10" width="7.6640625" customWidth="1"/>
    <col min="11" max="11" width="5.08203125" customWidth="1"/>
    <col min="12" max="12" width="10.33203125" customWidth="1"/>
    <col min="13" max="13" width="7.4140625" customWidth="1"/>
    <col min="14" max="14" width="6.4140625" customWidth="1"/>
    <col min="15" max="15" width="9.4140625" customWidth="1"/>
    <col min="16" max="16" width="8.75" customWidth="1"/>
    <col min="17" max="17" width="12.5" customWidth="1"/>
  </cols>
  <sheetData>
    <row r="1" spans="1:17" ht="14.65" customHeight="1">
      <c r="A1" s="2" t="s">
        <v>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 s="3">
        <v>0</v>
      </c>
      <c r="B2" s="3">
        <v>82.3</v>
      </c>
      <c r="C2" s="3">
        <v>0.73</v>
      </c>
      <c r="D2" s="3">
        <v>1.381</v>
      </c>
      <c r="E2" s="3">
        <v>2.41</v>
      </c>
      <c r="F2" s="3">
        <v>7</v>
      </c>
      <c r="G2" s="3">
        <v>82.3</v>
      </c>
      <c r="H2" s="3">
        <v>0.73</v>
      </c>
      <c r="I2" s="3" t="s">
        <v>16</v>
      </c>
      <c r="J2" s="3">
        <v>0</v>
      </c>
      <c r="K2" s="3">
        <v>0.73</v>
      </c>
      <c r="L2" s="3">
        <v>1</v>
      </c>
      <c r="M2" s="3">
        <v>0</v>
      </c>
      <c r="N2" s="3">
        <v>10140.200000000001</v>
      </c>
      <c r="O2" s="3">
        <v>83</v>
      </c>
      <c r="P2" s="3">
        <f t="shared" ref="P2:P18" si="0">G2-O2</f>
        <v>-0.70000000000000284</v>
      </c>
      <c r="Q2" s="3">
        <f t="shared" ref="Q2:Q18" si="1">ABS(P2)</f>
        <v>0.70000000000000284</v>
      </c>
    </row>
    <row r="3" spans="1:17">
      <c r="A3" s="3">
        <v>1</v>
      </c>
      <c r="B3" s="3">
        <v>82.7</v>
      </c>
      <c r="C3" s="3">
        <v>0.8</v>
      </c>
      <c r="D3" s="3">
        <v>1.39</v>
      </c>
      <c r="E3" s="3">
        <v>2.64</v>
      </c>
      <c r="F3" s="3">
        <v>7</v>
      </c>
      <c r="G3" s="3">
        <v>82.7</v>
      </c>
      <c r="H3" s="3">
        <v>0.69</v>
      </c>
      <c r="I3" s="3" t="s">
        <v>16</v>
      </c>
      <c r="J3" s="3">
        <v>0.04</v>
      </c>
      <c r="K3" s="3">
        <v>0.69</v>
      </c>
      <c r="L3" s="3">
        <v>1</v>
      </c>
      <c r="M3" s="3">
        <v>0</v>
      </c>
      <c r="N3" s="3">
        <v>9577.4</v>
      </c>
      <c r="O3" s="3">
        <v>83</v>
      </c>
      <c r="P3" s="3">
        <f t="shared" si="0"/>
        <v>-0.29999999999999716</v>
      </c>
      <c r="Q3" s="3">
        <f t="shared" si="1"/>
        <v>0.29999999999999716</v>
      </c>
    </row>
    <row r="4" spans="1:17">
      <c r="A4" s="3">
        <v>2</v>
      </c>
      <c r="B4" s="3">
        <v>83.7</v>
      </c>
      <c r="C4" s="3">
        <v>0.78</v>
      </c>
      <c r="D4" s="3">
        <v>1.425</v>
      </c>
      <c r="E4" s="3">
        <v>2.56</v>
      </c>
      <c r="F4" s="3">
        <v>7</v>
      </c>
      <c r="G4" s="3">
        <v>83.7</v>
      </c>
      <c r="H4" s="3">
        <v>0.68</v>
      </c>
      <c r="I4" s="3" t="s">
        <v>16</v>
      </c>
      <c r="J4" s="3">
        <v>0</v>
      </c>
      <c r="K4" s="3">
        <v>0.68</v>
      </c>
      <c r="L4" s="3">
        <v>1</v>
      </c>
      <c r="M4" s="3">
        <v>0</v>
      </c>
      <c r="N4" s="3">
        <v>10208.4</v>
      </c>
      <c r="O4" s="3">
        <v>85</v>
      </c>
      <c r="P4" s="3">
        <f t="shared" si="0"/>
        <v>-1.2999999999999972</v>
      </c>
      <c r="Q4" s="3">
        <f t="shared" si="1"/>
        <v>1.2999999999999972</v>
      </c>
    </row>
    <row r="5" spans="1:17">
      <c r="A5" s="3">
        <v>3</v>
      </c>
      <c r="B5" s="3">
        <v>85</v>
      </c>
      <c r="C5" s="3">
        <v>0.82</v>
      </c>
      <c r="D5" s="3">
        <v>1.45</v>
      </c>
      <c r="E5" s="3">
        <v>2.71</v>
      </c>
      <c r="F5" s="3">
        <v>7</v>
      </c>
      <c r="G5" s="3">
        <v>85</v>
      </c>
      <c r="H5" s="3">
        <v>0.79</v>
      </c>
      <c r="I5" s="3" t="s">
        <v>16</v>
      </c>
      <c r="J5" s="3">
        <v>0.01</v>
      </c>
      <c r="K5" s="3">
        <v>0.79</v>
      </c>
      <c r="L5" s="3">
        <v>1</v>
      </c>
      <c r="M5" s="3">
        <v>0</v>
      </c>
      <c r="N5" s="3">
        <v>9897.1</v>
      </c>
      <c r="O5" s="3">
        <v>85</v>
      </c>
      <c r="P5" s="3">
        <f t="shared" si="0"/>
        <v>0</v>
      </c>
      <c r="Q5" s="3">
        <f t="shared" si="1"/>
        <v>0</v>
      </c>
    </row>
    <row r="6" spans="1:17">
      <c r="A6" s="3">
        <v>4</v>
      </c>
      <c r="B6" s="3">
        <v>86.2</v>
      </c>
      <c r="C6" s="3">
        <v>0.54</v>
      </c>
      <c r="D6" s="3">
        <v>1.4650000000000001</v>
      </c>
      <c r="E6" s="3">
        <v>2.25</v>
      </c>
      <c r="F6" s="3">
        <v>7</v>
      </c>
      <c r="G6" s="3">
        <v>86.2</v>
      </c>
      <c r="H6" s="3">
        <v>0.51</v>
      </c>
      <c r="I6" s="3" t="s">
        <v>16</v>
      </c>
      <c r="J6" s="3">
        <v>0.18</v>
      </c>
      <c r="K6" s="3">
        <v>0.51</v>
      </c>
      <c r="L6" s="3">
        <v>1</v>
      </c>
      <c r="M6" s="3">
        <v>0</v>
      </c>
      <c r="N6" s="3">
        <v>8232.6</v>
      </c>
      <c r="O6" s="3">
        <v>86</v>
      </c>
      <c r="P6" s="3">
        <f t="shared" si="0"/>
        <v>0.20000000000000284</v>
      </c>
      <c r="Q6" s="3">
        <f t="shared" si="1"/>
        <v>0.20000000000000284</v>
      </c>
    </row>
    <row r="7" spans="1:17">
      <c r="A7" s="3">
        <v>5</v>
      </c>
      <c r="B7" s="3">
        <v>86.6</v>
      </c>
      <c r="C7" s="3">
        <v>0.4</v>
      </c>
      <c r="D7" s="3">
        <v>1.4650000000000001</v>
      </c>
      <c r="E7" s="3">
        <v>1.8</v>
      </c>
      <c r="F7" s="3">
        <v>7</v>
      </c>
      <c r="G7" s="3">
        <v>86.6</v>
      </c>
      <c r="H7" s="3">
        <v>0.33</v>
      </c>
      <c r="I7" s="3" t="s">
        <v>16</v>
      </c>
      <c r="J7" s="3">
        <v>0.18</v>
      </c>
      <c r="K7" s="3">
        <v>0.33</v>
      </c>
      <c r="L7" s="3">
        <v>1</v>
      </c>
      <c r="M7" s="3">
        <v>0</v>
      </c>
      <c r="N7" s="3">
        <v>8219.4</v>
      </c>
      <c r="O7" s="3">
        <v>86</v>
      </c>
      <c r="P7" s="3">
        <f t="shared" si="0"/>
        <v>0.59999999999999432</v>
      </c>
      <c r="Q7" s="3">
        <f t="shared" si="1"/>
        <v>0.59999999999999432</v>
      </c>
    </row>
    <row r="8" spans="1:17">
      <c r="A8" s="3">
        <v>6</v>
      </c>
      <c r="B8" s="3">
        <v>86.6</v>
      </c>
      <c r="C8" s="3">
        <v>0.38</v>
      </c>
      <c r="D8" s="3">
        <v>1.4650000000000001</v>
      </c>
      <c r="E8" s="3">
        <v>1.73</v>
      </c>
      <c r="F8" s="3">
        <v>7</v>
      </c>
      <c r="G8" s="3">
        <v>86.6</v>
      </c>
      <c r="H8" s="3">
        <v>0.32</v>
      </c>
      <c r="I8" s="3" t="s">
        <v>16</v>
      </c>
      <c r="J8" s="3">
        <v>0.13</v>
      </c>
      <c r="K8" s="3">
        <v>0.32</v>
      </c>
      <c r="L8" s="3">
        <v>1</v>
      </c>
      <c r="M8" s="3">
        <v>0</v>
      </c>
      <c r="N8" s="3">
        <v>8705.7999999999993</v>
      </c>
      <c r="O8" s="3">
        <v>88</v>
      </c>
      <c r="P8" s="3">
        <f t="shared" si="0"/>
        <v>-1.4000000000000057</v>
      </c>
      <c r="Q8" s="3">
        <f t="shared" si="1"/>
        <v>1.4000000000000057</v>
      </c>
    </row>
    <row r="9" spans="1:17">
      <c r="A9" s="3">
        <v>7</v>
      </c>
      <c r="B9" s="3">
        <v>87.3</v>
      </c>
      <c r="C9" s="3">
        <v>0.66</v>
      </c>
      <c r="D9" s="3">
        <v>1.5109999999999999</v>
      </c>
      <c r="E9" s="3">
        <v>2.2200000000000002</v>
      </c>
      <c r="F9" s="3">
        <v>8</v>
      </c>
      <c r="G9" s="3">
        <v>87.3</v>
      </c>
      <c r="H9" s="3">
        <v>0.55000000000000004</v>
      </c>
      <c r="I9" s="3" t="s">
        <v>16</v>
      </c>
      <c r="J9" s="3">
        <v>0.02</v>
      </c>
      <c r="K9" s="3">
        <v>0.55000000000000004</v>
      </c>
      <c r="L9" s="3">
        <v>1</v>
      </c>
      <c r="M9" s="3">
        <v>0</v>
      </c>
      <c r="N9" s="3">
        <v>9799.7000000000007</v>
      </c>
      <c r="O9" s="3">
        <v>88</v>
      </c>
      <c r="P9" s="3">
        <f t="shared" si="0"/>
        <v>-0.70000000000000284</v>
      </c>
      <c r="Q9" s="3">
        <f t="shared" si="1"/>
        <v>0.70000000000000284</v>
      </c>
    </row>
    <row r="10" spans="1:17">
      <c r="A10" s="3">
        <v>8</v>
      </c>
      <c r="B10" s="3">
        <v>89.5</v>
      </c>
      <c r="C10" s="3">
        <v>0.76</v>
      </c>
      <c r="D10" s="3">
        <v>1.5469999999999999</v>
      </c>
      <c r="E10" s="3">
        <v>2.5</v>
      </c>
      <c r="F10" s="3">
        <v>8</v>
      </c>
      <c r="G10" s="3">
        <v>89.5</v>
      </c>
      <c r="H10" s="3">
        <v>0.7</v>
      </c>
      <c r="I10" s="3" t="s">
        <v>16</v>
      </c>
      <c r="J10" s="3">
        <v>0.04</v>
      </c>
      <c r="K10" s="3">
        <v>0.7</v>
      </c>
      <c r="L10" s="3">
        <v>1</v>
      </c>
      <c r="M10" s="3">
        <v>0</v>
      </c>
      <c r="N10" s="3">
        <v>9551.2000000000007</v>
      </c>
      <c r="O10" s="3">
        <v>90</v>
      </c>
      <c r="P10" s="3">
        <f t="shared" si="0"/>
        <v>-0.5</v>
      </c>
      <c r="Q10" s="3">
        <f t="shared" si="1"/>
        <v>0.5</v>
      </c>
    </row>
    <row r="11" spans="1:17">
      <c r="A11" s="3">
        <v>9</v>
      </c>
      <c r="B11" s="3">
        <v>91.5</v>
      </c>
      <c r="C11" s="3">
        <v>0.8</v>
      </c>
      <c r="D11" s="3">
        <v>1.573</v>
      </c>
      <c r="E11" s="3">
        <v>2.72</v>
      </c>
      <c r="F11" s="3">
        <v>8</v>
      </c>
      <c r="G11" s="3">
        <v>91.5</v>
      </c>
      <c r="H11" s="3">
        <v>0.77</v>
      </c>
      <c r="I11" s="3" t="s">
        <v>16</v>
      </c>
      <c r="J11" s="3">
        <v>0</v>
      </c>
      <c r="K11" s="3">
        <v>0.77</v>
      </c>
      <c r="L11" s="3">
        <v>1</v>
      </c>
      <c r="M11" s="3">
        <v>0</v>
      </c>
      <c r="N11" s="3">
        <v>11092.1</v>
      </c>
      <c r="O11" s="3">
        <v>90</v>
      </c>
      <c r="P11" s="3">
        <f t="shared" si="0"/>
        <v>1.5</v>
      </c>
      <c r="Q11" s="3">
        <f t="shared" si="1"/>
        <v>1.5</v>
      </c>
    </row>
    <row r="12" spans="1:17">
      <c r="A12" s="3">
        <v>10</v>
      </c>
      <c r="B12" s="3">
        <v>92.8</v>
      </c>
      <c r="C12" s="3">
        <v>0.76</v>
      </c>
      <c r="D12" s="3">
        <v>1.571</v>
      </c>
      <c r="E12" s="3">
        <v>2.6</v>
      </c>
      <c r="F12" s="3">
        <v>8</v>
      </c>
      <c r="G12" s="3">
        <v>92.8</v>
      </c>
      <c r="H12" s="3">
        <v>0.75</v>
      </c>
      <c r="I12" s="3" t="s">
        <v>16</v>
      </c>
      <c r="J12" s="3">
        <v>0.02</v>
      </c>
      <c r="K12" s="3">
        <v>0.75</v>
      </c>
      <c r="L12" s="3">
        <v>1</v>
      </c>
      <c r="M12" s="3">
        <v>0</v>
      </c>
      <c r="N12" s="3">
        <v>9777.2999999999993</v>
      </c>
      <c r="O12" s="3">
        <v>93</v>
      </c>
      <c r="P12" s="3">
        <f t="shared" si="0"/>
        <v>-0.20000000000000284</v>
      </c>
      <c r="Q12" s="3">
        <f t="shared" si="1"/>
        <v>0.20000000000000284</v>
      </c>
    </row>
    <row r="13" spans="1:17">
      <c r="A13" s="3">
        <v>11</v>
      </c>
      <c r="B13" s="3">
        <v>93</v>
      </c>
      <c r="C13" s="3">
        <v>0.64</v>
      </c>
      <c r="D13" s="3">
        <v>1.5509999999999999</v>
      </c>
      <c r="E13" s="3">
        <v>2.08</v>
      </c>
      <c r="F13" s="3">
        <v>8</v>
      </c>
      <c r="G13" s="3">
        <v>93</v>
      </c>
      <c r="H13" s="3">
        <v>0.55000000000000004</v>
      </c>
      <c r="I13" s="3" t="s">
        <v>16</v>
      </c>
      <c r="J13" s="3">
        <v>0.12</v>
      </c>
      <c r="K13" s="3">
        <v>0.55000000000000004</v>
      </c>
      <c r="L13" s="3">
        <v>1</v>
      </c>
      <c r="M13" s="3">
        <v>0</v>
      </c>
      <c r="N13" s="3">
        <v>8761.4</v>
      </c>
      <c r="O13" s="3">
        <v>93</v>
      </c>
      <c r="P13" s="3">
        <f t="shared" si="0"/>
        <v>0</v>
      </c>
      <c r="Q13" s="3">
        <f t="shared" si="1"/>
        <v>0</v>
      </c>
    </row>
    <row r="14" spans="1:17">
      <c r="A14" s="3">
        <v>12</v>
      </c>
      <c r="B14" s="3">
        <v>91</v>
      </c>
      <c r="C14" s="3">
        <v>0.43</v>
      </c>
      <c r="D14" s="3">
        <v>1.4179999999999999</v>
      </c>
      <c r="E14" s="3">
        <v>1.4</v>
      </c>
      <c r="F14" s="3">
        <v>7</v>
      </c>
      <c r="G14" s="3">
        <v>93</v>
      </c>
      <c r="H14" s="3">
        <v>0</v>
      </c>
      <c r="I14" s="3" t="s">
        <v>17</v>
      </c>
      <c r="J14" s="3">
        <v>0.12</v>
      </c>
      <c r="K14" s="3">
        <v>0.4</v>
      </c>
      <c r="L14" s="3">
        <v>1</v>
      </c>
      <c r="M14" s="3">
        <v>1</v>
      </c>
      <c r="N14" s="3">
        <v>8769.2999999999993</v>
      </c>
      <c r="O14" s="3">
        <v>92</v>
      </c>
      <c r="P14" s="3">
        <f t="shared" si="0"/>
        <v>1</v>
      </c>
      <c r="Q14" s="3">
        <f t="shared" si="1"/>
        <v>1</v>
      </c>
    </row>
    <row r="15" spans="1:17">
      <c r="A15" s="3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93</v>
      </c>
      <c r="H15" s="3">
        <v>0</v>
      </c>
      <c r="I15" s="3" t="s">
        <v>17</v>
      </c>
      <c r="J15" s="3">
        <v>0.02</v>
      </c>
      <c r="K15" s="3">
        <v>0</v>
      </c>
      <c r="L15" s="3">
        <v>1</v>
      </c>
      <c r="M15" s="3">
        <v>1</v>
      </c>
      <c r="N15" s="3">
        <v>9771.9</v>
      </c>
      <c r="O15" s="3">
        <v>92</v>
      </c>
      <c r="P15" s="3">
        <f t="shared" si="0"/>
        <v>1</v>
      </c>
      <c r="Q15" s="3">
        <f t="shared" si="1"/>
        <v>1</v>
      </c>
    </row>
    <row r="16" spans="1:17">
      <c r="A16" s="3">
        <v>14</v>
      </c>
      <c r="B16" s="3">
        <v>92.2</v>
      </c>
      <c r="C16" s="3">
        <v>0.49</v>
      </c>
      <c r="D16" s="3">
        <v>1.494</v>
      </c>
      <c r="E16" s="3">
        <v>1.61</v>
      </c>
      <c r="F16" s="3">
        <v>8</v>
      </c>
      <c r="G16" s="3">
        <v>92.2</v>
      </c>
      <c r="H16" s="3">
        <v>0.49</v>
      </c>
      <c r="I16" s="3" t="s">
        <v>16</v>
      </c>
      <c r="J16" s="3">
        <v>0.1</v>
      </c>
      <c r="K16" s="3">
        <v>0.49</v>
      </c>
      <c r="L16" s="3">
        <v>1</v>
      </c>
      <c r="M16" s="3">
        <v>0</v>
      </c>
      <c r="N16" s="3">
        <v>9035.7999999999993</v>
      </c>
      <c r="O16" s="3">
        <v>89</v>
      </c>
      <c r="P16" s="3">
        <f t="shared" si="0"/>
        <v>3.2000000000000028</v>
      </c>
      <c r="Q16" s="3">
        <f t="shared" si="1"/>
        <v>3.2000000000000028</v>
      </c>
    </row>
    <row r="17" spans="1:17">
      <c r="A17" s="3">
        <v>15</v>
      </c>
      <c r="B17" s="3">
        <v>91.2</v>
      </c>
      <c r="C17" s="3">
        <v>0.63</v>
      </c>
      <c r="D17" s="3">
        <v>1.482</v>
      </c>
      <c r="E17" s="3">
        <v>2.06</v>
      </c>
      <c r="F17" s="3">
        <v>8</v>
      </c>
      <c r="G17" s="3">
        <v>91.2</v>
      </c>
      <c r="H17" s="3">
        <v>0.62</v>
      </c>
      <c r="I17" s="3" t="s">
        <v>16</v>
      </c>
      <c r="J17" s="3">
        <v>0.16</v>
      </c>
      <c r="K17" s="3">
        <v>0.62</v>
      </c>
      <c r="L17" s="3">
        <v>1</v>
      </c>
      <c r="M17" s="3">
        <v>0</v>
      </c>
      <c r="N17" s="3">
        <v>8422.7000000000007</v>
      </c>
      <c r="O17" s="3">
        <v>89</v>
      </c>
      <c r="P17" s="3">
        <f t="shared" si="0"/>
        <v>2.2000000000000028</v>
      </c>
      <c r="Q17" s="3">
        <f t="shared" si="1"/>
        <v>2.2000000000000028</v>
      </c>
    </row>
    <row r="18" spans="1:17">
      <c r="A18" s="3">
        <v>16</v>
      </c>
      <c r="B18" s="3">
        <v>90.5</v>
      </c>
      <c r="C18" s="3">
        <v>0.73</v>
      </c>
      <c r="D18" s="3">
        <v>1.4950000000000001</v>
      </c>
      <c r="E18" s="3">
        <v>2.39</v>
      </c>
      <c r="F18" s="3">
        <v>8</v>
      </c>
      <c r="G18" s="3">
        <v>90.5</v>
      </c>
      <c r="H18" s="3">
        <v>0.7</v>
      </c>
      <c r="I18" s="3" t="s">
        <v>16</v>
      </c>
      <c r="J18" s="3">
        <v>0.05</v>
      </c>
      <c r="K18" s="3">
        <v>0.7</v>
      </c>
      <c r="L18" s="3">
        <v>1</v>
      </c>
      <c r="M18" s="3">
        <v>0</v>
      </c>
      <c r="N18" s="3">
        <v>9478.5</v>
      </c>
      <c r="O18" s="3">
        <v>88</v>
      </c>
      <c r="P18" s="3">
        <f t="shared" si="0"/>
        <v>2.5</v>
      </c>
      <c r="Q18" s="3">
        <f t="shared" si="1"/>
        <v>2.5</v>
      </c>
    </row>
    <row r="19" spans="1:17">
      <c r="A19" s="3">
        <v>17</v>
      </c>
      <c r="B19" s="3">
        <v>90.2</v>
      </c>
      <c r="C19" s="3">
        <v>0.81</v>
      </c>
      <c r="D19" s="3">
        <v>1.4970000000000001</v>
      </c>
      <c r="E19" s="3">
        <v>2.65</v>
      </c>
      <c r="F19" s="3">
        <v>8</v>
      </c>
      <c r="G19" s="3">
        <v>90.2</v>
      </c>
      <c r="H19" s="3">
        <v>0.8</v>
      </c>
      <c r="I19" s="3" t="s">
        <v>16</v>
      </c>
      <c r="J19" s="3">
        <v>0.1</v>
      </c>
      <c r="K19" s="3">
        <v>0.8</v>
      </c>
      <c r="L19" s="3">
        <v>1</v>
      </c>
      <c r="M19" s="3">
        <v>0</v>
      </c>
      <c r="N19" s="3">
        <v>9010.2999999999993</v>
      </c>
      <c r="O19" s="3">
        <v>88</v>
      </c>
      <c r="P19" s="3">
        <f t="shared" ref="P19:P50" si="2">G19-O19</f>
        <v>2.2000000000000028</v>
      </c>
      <c r="Q19" s="3">
        <f t="shared" ref="Q19:Q50" si="3">ABS(P19)</f>
        <v>2.2000000000000028</v>
      </c>
    </row>
    <row r="20" spans="1:17">
      <c r="A20" s="3">
        <v>18</v>
      </c>
      <c r="B20" s="3">
        <v>90.2</v>
      </c>
      <c r="C20" s="3">
        <v>0.88</v>
      </c>
      <c r="D20" s="3">
        <v>1.506</v>
      </c>
      <c r="E20" s="3">
        <v>2.91</v>
      </c>
      <c r="F20" s="3">
        <v>8</v>
      </c>
      <c r="G20" s="3">
        <v>90.2</v>
      </c>
      <c r="H20" s="3">
        <v>0.62</v>
      </c>
      <c r="I20" s="3" t="s">
        <v>16</v>
      </c>
      <c r="J20" s="3">
        <v>0.02</v>
      </c>
      <c r="K20" s="3">
        <v>0.62</v>
      </c>
      <c r="L20" s="3">
        <v>1</v>
      </c>
      <c r="M20" s="3">
        <v>0</v>
      </c>
      <c r="N20" s="3">
        <v>9801.7000000000007</v>
      </c>
      <c r="O20" s="3">
        <v>88</v>
      </c>
      <c r="P20" s="3">
        <f t="shared" si="2"/>
        <v>2.2000000000000028</v>
      </c>
      <c r="Q20" s="3">
        <f t="shared" si="3"/>
        <v>2.2000000000000028</v>
      </c>
    </row>
    <row r="21" spans="1:17">
      <c r="A21" s="3">
        <v>19</v>
      </c>
      <c r="B21" s="3">
        <v>90.2</v>
      </c>
      <c r="C21" s="3">
        <v>0.9</v>
      </c>
      <c r="D21" s="3">
        <v>1.4990000000000001</v>
      </c>
      <c r="E21" s="3">
        <v>2.96</v>
      </c>
      <c r="F21" s="3">
        <v>8</v>
      </c>
      <c r="G21" s="3">
        <v>90.2</v>
      </c>
      <c r="H21" s="3">
        <v>0.63</v>
      </c>
      <c r="I21" s="3" t="s">
        <v>16</v>
      </c>
      <c r="J21" s="3">
        <v>0.01</v>
      </c>
      <c r="K21" s="3">
        <v>0.63</v>
      </c>
      <c r="L21" s="3">
        <v>1</v>
      </c>
      <c r="M21" s="3">
        <v>0</v>
      </c>
      <c r="N21" s="3">
        <v>9898</v>
      </c>
      <c r="O21" s="3">
        <v>88</v>
      </c>
      <c r="P21" s="3">
        <f t="shared" si="2"/>
        <v>2.2000000000000028</v>
      </c>
      <c r="Q21" s="3">
        <f t="shared" si="3"/>
        <v>2.2000000000000028</v>
      </c>
    </row>
    <row r="22" spans="1:17">
      <c r="A22" s="3">
        <v>20</v>
      </c>
      <c r="B22" s="3">
        <v>89.6</v>
      </c>
      <c r="C22" s="3">
        <v>0.9</v>
      </c>
      <c r="D22" s="3">
        <v>1.478</v>
      </c>
      <c r="E22" s="3">
        <v>2.96</v>
      </c>
      <c r="F22" s="3">
        <v>8</v>
      </c>
      <c r="G22" s="3">
        <v>89.6</v>
      </c>
      <c r="H22" s="3">
        <v>0.63</v>
      </c>
      <c r="I22" s="3" t="s">
        <v>16</v>
      </c>
      <c r="J22" s="3">
        <v>0</v>
      </c>
      <c r="K22" s="3">
        <v>0.63</v>
      </c>
      <c r="L22" s="3">
        <v>1</v>
      </c>
      <c r="M22" s="3">
        <v>0</v>
      </c>
      <c r="N22" s="3">
        <v>10171.200000000001</v>
      </c>
      <c r="O22" s="3">
        <v>88</v>
      </c>
      <c r="P22" s="3">
        <f t="shared" si="2"/>
        <v>1.5999999999999943</v>
      </c>
      <c r="Q22" s="3">
        <f t="shared" si="3"/>
        <v>1.5999999999999943</v>
      </c>
    </row>
    <row r="23" spans="1:17">
      <c r="A23" s="3">
        <v>21</v>
      </c>
      <c r="B23" s="3">
        <v>89.2</v>
      </c>
      <c r="C23" s="3">
        <v>0.9</v>
      </c>
      <c r="D23" s="3">
        <v>1.478</v>
      </c>
      <c r="E23" s="3">
        <v>2.97</v>
      </c>
      <c r="F23" s="3">
        <v>8</v>
      </c>
      <c r="G23" s="3">
        <v>89.2</v>
      </c>
      <c r="H23" s="3">
        <v>0.87</v>
      </c>
      <c r="I23" s="3" t="s">
        <v>16</v>
      </c>
      <c r="J23" s="3">
        <v>0.09</v>
      </c>
      <c r="K23" s="3">
        <v>0.87</v>
      </c>
      <c r="L23" s="3">
        <v>1</v>
      </c>
      <c r="M23" s="3">
        <v>0</v>
      </c>
      <c r="N23" s="3">
        <v>9141.4</v>
      </c>
      <c r="O23" s="3">
        <v>88</v>
      </c>
      <c r="P23" s="3">
        <f t="shared" si="2"/>
        <v>1.2000000000000028</v>
      </c>
      <c r="Q23" s="3">
        <f t="shared" si="3"/>
        <v>1.2000000000000028</v>
      </c>
    </row>
    <row r="24" spans="1:17">
      <c r="A24" s="3">
        <v>22</v>
      </c>
      <c r="B24" s="3">
        <v>89.1</v>
      </c>
      <c r="C24" s="3">
        <v>0.79</v>
      </c>
      <c r="D24" s="3">
        <v>1.4850000000000001</v>
      </c>
      <c r="E24" s="3">
        <v>2.58</v>
      </c>
      <c r="F24" s="3">
        <v>8</v>
      </c>
      <c r="G24" s="3">
        <v>89.1</v>
      </c>
      <c r="H24" s="3">
        <v>0.77</v>
      </c>
      <c r="I24" s="3" t="s">
        <v>16</v>
      </c>
      <c r="J24" s="3">
        <v>0.06</v>
      </c>
      <c r="K24" s="3">
        <v>0.77</v>
      </c>
      <c r="L24" s="3">
        <v>1</v>
      </c>
      <c r="M24" s="3">
        <v>0</v>
      </c>
      <c r="N24" s="3">
        <v>9375.2000000000007</v>
      </c>
      <c r="O24" s="3">
        <v>88</v>
      </c>
      <c r="P24" s="3">
        <f t="shared" si="2"/>
        <v>1.0999999999999943</v>
      </c>
      <c r="Q24" s="3">
        <f t="shared" si="3"/>
        <v>1.0999999999999943</v>
      </c>
    </row>
    <row r="25" spans="1:17">
      <c r="A25" s="3">
        <v>23</v>
      </c>
      <c r="B25" s="3">
        <v>88.9</v>
      </c>
      <c r="C25" s="3">
        <v>0.62</v>
      </c>
      <c r="D25" s="3">
        <v>1.47</v>
      </c>
      <c r="E25" s="3">
        <v>2.0299999999999998</v>
      </c>
      <c r="F25" s="3">
        <v>8</v>
      </c>
      <c r="G25" s="3">
        <v>88.9</v>
      </c>
      <c r="H25" s="3">
        <v>0.56999999999999995</v>
      </c>
      <c r="I25" s="3" t="s">
        <v>16</v>
      </c>
      <c r="J25" s="3">
        <v>0.21</v>
      </c>
      <c r="K25" s="3">
        <v>0.56999999999999995</v>
      </c>
      <c r="L25" s="3">
        <v>1</v>
      </c>
      <c r="M25" s="3">
        <v>0</v>
      </c>
      <c r="N25" s="3">
        <v>7913.6</v>
      </c>
      <c r="O25" s="3">
        <v>88</v>
      </c>
      <c r="P25" s="3">
        <f t="shared" si="2"/>
        <v>0.90000000000000568</v>
      </c>
      <c r="Q25" s="3">
        <f t="shared" si="3"/>
        <v>0.90000000000000568</v>
      </c>
    </row>
    <row r="26" spans="1:17">
      <c r="A26" s="3">
        <v>24</v>
      </c>
      <c r="B26" s="3">
        <v>88.6</v>
      </c>
      <c r="C26" s="3">
        <v>0.35</v>
      </c>
      <c r="D26" s="3">
        <v>1.4650000000000001</v>
      </c>
      <c r="E26" s="3">
        <v>1.62</v>
      </c>
      <c r="F26" s="3">
        <v>8</v>
      </c>
      <c r="G26" s="3">
        <v>88.6</v>
      </c>
      <c r="H26" s="3">
        <v>0.34</v>
      </c>
      <c r="I26" s="3" t="s">
        <v>16</v>
      </c>
      <c r="J26" s="3">
        <v>0.08</v>
      </c>
      <c r="K26" s="3">
        <v>0.34</v>
      </c>
      <c r="L26" s="3">
        <v>1</v>
      </c>
      <c r="M26" s="3">
        <v>0</v>
      </c>
      <c r="N26" s="3">
        <v>9238.9</v>
      </c>
      <c r="O26" s="3">
        <v>87</v>
      </c>
      <c r="P26" s="3">
        <f t="shared" si="2"/>
        <v>1.5999999999999943</v>
      </c>
      <c r="Q26" s="3">
        <f t="shared" si="3"/>
        <v>1.5999999999999943</v>
      </c>
    </row>
    <row r="27" spans="1:17">
      <c r="A27" s="3">
        <v>25</v>
      </c>
      <c r="B27" s="3">
        <v>88.6</v>
      </c>
      <c r="C27" s="3">
        <v>0.39</v>
      </c>
      <c r="D27" s="3">
        <v>1.4650000000000001</v>
      </c>
      <c r="E27" s="3">
        <v>1.75</v>
      </c>
      <c r="F27" s="3">
        <v>8</v>
      </c>
      <c r="G27" s="3">
        <v>88.6</v>
      </c>
      <c r="H27" s="3">
        <v>0.36</v>
      </c>
      <c r="I27" s="3" t="s">
        <v>16</v>
      </c>
      <c r="J27" s="3">
        <v>0.21</v>
      </c>
      <c r="K27" s="3">
        <v>0.36</v>
      </c>
      <c r="L27" s="3">
        <v>1</v>
      </c>
      <c r="M27" s="3">
        <v>0</v>
      </c>
      <c r="N27" s="3">
        <v>7896.9</v>
      </c>
      <c r="O27" s="3">
        <v>87</v>
      </c>
      <c r="P27" s="3">
        <f t="shared" si="2"/>
        <v>1.5999999999999943</v>
      </c>
      <c r="Q27" s="3">
        <f t="shared" si="3"/>
        <v>1.5999999999999943</v>
      </c>
    </row>
    <row r="28" spans="1:17">
      <c r="A28" s="3">
        <v>26</v>
      </c>
      <c r="B28" s="3">
        <v>88.6</v>
      </c>
      <c r="C28" s="3">
        <v>0.5</v>
      </c>
      <c r="D28" s="3">
        <v>1.4650000000000001</v>
      </c>
      <c r="E28" s="3">
        <v>2.15</v>
      </c>
      <c r="F28" s="3">
        <v>8</v>
      </c>
      <c r="G28" s="3">
        <v>88.6</v>
      </c>
      <c r="H28" s="3">
        <v>0.39</v>
      </c>
      <c r="I28" s="3" t="s">
        <v>16</v>
      </c>
      <c r="J28" s="3">
        <v>0.1</v>
      </c>
      <c r="K28" s="3">
        <v>0.39</v>
      </c>
      <c r="L28" s="3">
        <v>1</v>
      </c>
      <c r="M28" s="3">
        <v>0</v>
      </c>
      <c r="N28" s="3">
        <v>8976.7999999999993</v>
      </c>
      <c r="O28" s="3">
        <v>87</v>
      </c>
      <c r="P28" s="3">
        <f t="shared" si="2"/>
        <v>1.5999999999999943</v>
      </c>
      <c r="Q28" s="3">
        <f t="shared" si="3"/>
        <v>1.5999999999999943</v>
      </c>
    </row>
    <row r="29" spans="1:17">
      <c r="A29" s="3">
        <v>27</v>
      </c>
      <c r="B29" s="3">
        <v>88.3</v>
      </c>
      <c r="C29" s="3">
        <v>0.59</v>
      </c>
      <c r="D29" s="3">
        <v>1.4650000000000001</v>
      </c>
      <c r="E29" s="3">
        <v>2.44</v>
      </c>
      <c r="F29" s="3">
        <v>8</v>
      </c>
      <c r="G29" s="3">
        <v>88.3</v>
      </c>
      <c r="H29" s="3">
        <v>0.59</v>
      </c>
      <c r="I29" s="3" t="s">
        <v>16</v>
      </c>
      <c r="J29" s="3">
        <v>0.06</v>
      </c>
      <c r="K29" s="3">
        <v>0.59</v>
      </c>
      <c r="L29" s="3">
        <v>1</v>
      </c>
      <c r="M29" s="3">
        <v>0</v>
      </c>
      <c r="N29" s="3">
        <v>9412.4</v>
      </c>
      <c r="O29" s="3">
        <v>87</v>
      </c>
      <c r="P29" s="3">
        <f t="shared" si="2"/>
        <v>1.2999999999999972</v>
      </c>
      <c r="Q29" s="3">
        <f t="shared" si="3"/>
        <v>1.2999999999999972</v>
      </c>
    </row>
    <row r="30" spans="1:17">
      <c r="A30" s="3">
        <v>28</v>
      </c>
      <c r="B30" s="3">
        <v>88.1</v>
      </c>
      <c r="C30" s="3">
        <v>0.6</v>
      </c>
      <c r="D30" s="3">
        <v>1.4650000000000001</v>
      </c>
      <c r="E30" s="3">
        <v>2.46</v>
      </c>
      <c r="F30" s="3">
        <v>8</v>
      </c>
      <c r="G30" s="3">
        <v>88.1</v>
      </c>
      <c r="H30" s="3">
        <v>0.6</v>
      </c>
      <c r="I30" s="3" t="s">
        <v>16</v>
      </c>
      <c r="J30" s="3">
        <v>0.18</v>
      </c>
      <c r="K30" s="3">
        <v>0.6</v>
      </c>
      <c r="L30" s="3">
        <v>1</v>
      </c>
      <c r="M30" s="3">
        <v>0</v>
      </c>
      <c r="N30" s="3">
        <v>8174</v>
      </c>
      <c r="O30" s="3">
        <v>86</v>
      </c>
      <c r="P30" s="3">
        <f t="shared" si="2"/>
        <v>2.0999999999999943</v>
      </c>
      <c r="Q30" s="3">
        <f t="shared" si="3"/>
        <v>2.0999999999999943</v>
      </c>
    </row>
    <row r="31" spans="1:17">
      <c r="A31" s="3">
        <v>29</v>
      </c>
      <c r="B31" s="3">
        <v>87.3</v>
      </c>
      <c r="C31" s="3">
        <v>0.8</v>
      </c>
      <c r="D31" s="3">
        <v>1.42</v>
      </c>
      <c r="E31" s="3">
        <v>2.63</v>
      </c>
      <c r="F31" s="3">
        <v>7</v>
      </c>
      <c r="G31" s="3">
        <v>87.3</v>
      </c>
      <c r="H31" s="3">
        <v>0.78</v>
      </c>
      <c r="I31" s="3" t="s">
        <v>16</v>
      </c>
      <c r="J31" s="3">
        <v>7.0000000000000007E-2</v>
      </c>
      <c r="K31" s="3">
        <v>0.78</v>
      </c>
      <c r="L31" s="3">
        <v>1</v>
      </c>
      <c r="M31" s="3">
        <v>0</v>
      </c>
      <c r="N31" s="3">
        <v>9334.4</v>
      </c>
      <c r="O31" s="3">
        <v>86</v>
      </c>
      <c r="P31" s="3">
        <f t="shared" si="2"/>
        <v>1.2999999999999972</v>
      </c>
      <c r="Q31" s="3">
        <f t="shared" si="3"/>
        <v>1.2999999999999972</v>
      </c>
    </row>
    <row r="32" spans="1:17">
      <c r="A32" s="3">
        <v>30</v>
      </c>
      <c r="B32" s="3">
        <v>86.1</v>
      </c>
      <c r="C32" s="3">
        <v>0.66</v>
      </c>
      <c r="D32" s="3">
        <v>1.409</v>
      </c>
      <c r="E32" s="3">
        <v>2.16</v>
      </c>
      <c r="F32" s="3">
        <v>7</v>
      </c>
      <c r="G32" s="3">
        <v>86.1</v>
      </c>
      <c r="H32" s="3">
        <v>0.55000000000000004</v>
      </c>
      <c r="I32" s="3" t="s">
        <v>16</v>
      </c>
      <c r="J32" s="3">
        <v>0</v>
      </c>
      <c r="K32" s="3">
        <v>0.55000000000000004</v>
      </c>
      <c r="L32" s="3">
        <v>1</v>
      </c>
      <c r="M32" s="3">
        <v>0</v>
      </c>
      <c r="N32" s="3">
        <v>10127.200000000001</v>
      </c>
      <c r="O32" s="3">
        <v>87</v>
      </c>
      <c r="P32" s="3">
        <f t="shared" si="2"/>
        <v>-0.90000000000000568</v>
      </c>
      <c r="Q32" s="3">
        <f t="shared" si="3"/>
        <v>0.90000000000000568</v>
      </c>
    </row>
    <row r="33" spans="1:17">
      <c r="A33" s="3">
        <v>31</v>
      </c>
      <c r="B33" s="3">
        <v>86.5</v>
      </c>
      <c r="C33" s="3">
        <v>0.5</v>
      </c>
      <c r="D33" s="3">
        <v>1.464</v>
      </c>
      <c r="E33" s="3">
        <v>1.62</v>
      </c>
      <c r="F33" s="3">
        <v>7</v>
      </c>
      <c r="G33" s="3">
        <v>86.5</v>
      </c>
      <c r="H33" s="3">
        <v>0.37</v>
      </c>
      <c r="I33" s="3" t="s">
        <v>16</v>
      </c>
      <c r="J33" s="3">
        <v>0.11</v>
      </c>
      <c r="K33" s="3">
        <v>0.37</v>
      </c>
      <c r="L33" s="3">
        <v>1</v>
      </c>
      <c r="M33" s="3">
        <v>0</v>
      </c>
      <c r="N33" s="3">
        <v>8904</v>
      </c>
      <c r="O33" s="3">
        <v>87</v>
      </c>
      <c r="P33" s="3">
        <f t="shared" si="2"/>
        <v>-0.5</v>
      </c>
      <c r="Q33" s="3">
        <f t="shared" si="3"/>
        <v>0.5</v>
      </c>
    </row>
    <row r="34" spans="1:17">
      <c r="A34" s="3">
        <v>32</v>
      </c>
      <c r="B34" s="3">
        <v>86.5</v>
      </c>
      <c r="C34" s="3">
        <v>0.36</v>
      </c>
      <c r="D34" s="3">
        <v>1.4650000000000001</v>
      </c>
      <c r="E34" s="3">
        <v>1.67</v>
      </c>
      <c r="F34" s="3">
        <v>7</v>
      </c>
      <c r="G34" s="3">
        <v>86.5</v>
      </c>
      <c r="H34" s="3">
        <v>0.36</v>
      </c>
      <c r="I34" s="3" t="s">
        <v>16</v>
      </c>
      <c r="J34" s="3">
        <v>0.13</v>
      </c>
      <c r="K34" s="3">
        <v>0.36</v>
      </c>
      <c r="L34" s="3">
        <v>1</v>
      </c>
      <c r="M34" s="3">
        <v>0</v>
      </c>
      <c r="N34" s="3">
        <v>8716.2000000000007</v>
      </c>
      <c r="O34" s="3">
        <v>87</v>
      </c>
      <c r="P34" s="3">
        <f t="shared" si="2"/>
        <v>-0.5</v>
      </c>
      <c r="Q34" s="3">
        <f t="shared" si="3"/>
        <v>0.5</v>
      </c>
    </row>
    <row r="35" spans="1:17">
      <c r="A35" s="3">
        <v>33</v>
      </c>
      <c r="B35" s="3">
        <v>86.3</v>
      </c>
      <c r="C35" s="3">
        <v>0.66</v>
      </c>
      <c r="D35" s="3">
        <v>1.44</v>
      </c>
      <c r="E35" s="3">
        <v>2.16</v>
      </c>
      <c r="F35" s="3">
        <v>7</v>
      </c>
      <c r="G35" s="3">
        <v>86.3</v>
      </c>
      <c r="H35" s="3">
        <v>0.49</v>
      </c>
      <c r="I35" s="3" t="s">
        <v>16</v>
      </c>
      <c r="J35" s="3">
        <v>7.0000000000000007E-2</v>
      </c>
      <c r="K35" s="3">
        <v>0.49</v>
      </c>
      <c r="L35" s="3">
        <v>1</v>
      </c>
      <c r="M35" s="3">
        <v>0</v>
      </c>
      <c r="N35" s="3">
        <v>9293.2000000000007</v>
      </c>
      <c r="O35" s="3">
        <v>87</v>
      </c>
      <c r="P35" s="3">
        <f t="shared" si="2"/>
        <v>-0.70000000000000284</v>
      </c>
      <c r="Q35" s="3">
        <f t="shared" si="3"/>
        <v>0.70000000000000284</v>
      </c>
    </row>
    <row r="36" spans="1:17">
      <c r="A36" s="3">
        <v>34</v>
      </c>
      <c r="B36" s="3">
        <v>86.5</v>
      </c>
      <c r="C36" s="3">
        <v>0.75</v>
      </c>
      <c r="D36" s="3">
        <v>1.446</v>
      </c>
      <c r="E36" s="3">
        <v>2.46</v>
      </c>
      <c r="F36" s="3">
        <v>7</v>
      </c>
      <c r="G36" s="3">
        <v>86.5</v>
      </c>
      <c r="H36" s="3">
        <v>0.66</v>
      </c>
      <c r="I36" s="3" t="s">
        <v>16</v>
      </c>
      <c r="J36" s="3">
        <v>0.13</v>
      </c>
      <c r="K36" s="3">
        <v>0.66</v>
      </c>
      <c r="L36" s="3">
        <v>1</v>
      </c>
      <c r="M36" s="3">
        <v>0</v>
      </c>
      <c r="N36" s="3">
        <v>8660.4</v>
      </c>
      <c r="O36" s="3">
        <v>87</v>
      </c>
      <c r="P36" s="3">
        <f t="shared" si="2"/>
        <v>-0.5</v>
      </c>
      <c r="Q36" s="3">
        <f t="shared" si="3"/>
        <v>0.5</v>
      </c>
    </row>
    <row r="37" spans="1:17">
      <c r="A37" s="3">
        <v>35</v>
      </c>
      <c r="B37" s="3">
        <v>86.8</v>
      </c>
      <c r="C37" s="3">
        <v>0.74</v>
      </c>
      <c r="D37" s="3">
        <v>1.4550000000000001</v>
      </c>
      <c r="E37" s="3">
        <v>2.42</v>
      </c>
      <c r="F37" s="3">
        <v>7</v>
      </c>
      <c r="G37" s="3">
        <v>86.8</v>
      </c>
      <c r="H37" s="3">
        <v>0.64</v>
      </c>
      <c r="I37" s="3" t="s">
        <v>16</v>
      </c>
      <c r="J37" s="3">
        <v>0</v>
      </c>
      <c r="K37" s="3">
        <v>0.64</v>
      </c>
      <c r="L37" s="3">
        <v>1</v>
      </c>
      <c r="M37" s="3">
        <v>0</v>
      </c>
      <c r="N37" s="3">
        <v>10673.9</v>
      </c>
      <c r="O37" s="3">
        <v>87</v>
      </c>
      <c r="P37" s="3">
        <f t="shared" si="2"/>
        <v>-0.20000000000000284</v>
      </c>
      <c r="Q37" s="3">
        <f t="shared" si="3"/>
        <v>0.20000000000000284</v>
      </c>
    </row>
    <row r="38" spans="1:17">
      <c r="A38" s="3">
        <v>36</v>
      </c>
      <c r="B38" s="3">
        <v>86.8</v>
      </c>
      <c r="C38" s="3">
        <v>0.7</v>
      </c>
      <c r="D38" s="3">
        <v>1.44</v>
      </c>
      <c r="E38" s="3">
        <v>2.29</v>
      </c>
      <c r="F38" s="3">
        <v>7</v>
      </c>
      <c r="G38" s="3">
        <v>86.8</v>
      </c>
      <c r="H38" s="3">
        <v>0.64</v>
      </c>
      <c r="I38" s="3" t="s">
        <v>16</v>
      </c>
      <c r="J38" s="3">
        <v>0.05</v>
      </c>
      <c r="K38" s="3">
        <v>0.64</v>
      </c>
      <c r="L38" s="3">
        <v>1</v>
      </c>
      <c r="M38" s="3">
        <v>0</v>
      </c>
      <c r="N38" s="3">
        <v>9530</v>
      </c>
      <c r="O38" s="3">
        <v>87</v>
      </c>
      <c r="P38" s="3">
        <f t="shared" si="2"/>
        <v>-0.20000000000000284</v>
      </c>
      <c r="Q38" s="3">
        <f t="shared" si="3"/>
        <v>0.20000000000000284</v>
      </c>
    </row>
    <row r="39" spans="1:17">
      <c r="A39" s="3">
        <v>37</v>
      </c>
      <c r="B39" s="3">
        <v>86</v>
      </c>
      <c r="C39" s="3">
        <v>0.74</v>
      </c>
      <c r="D39" s="3">
        <v>1.413</v>
      </c>
      <c r="E39" s="3">
        <v>2.44</v>
      </c>
      <c r="F39" s="3">
        <v>7</v>
      </c>
      <c r="G39" s="3">
        <v>86</v>
      </c>
      <c r="H39" s="3">
        <v>0.68</v>
      </c>
      <c r="I39" s="3" t="s">
        <v>16</v>
      </c>
      <c r="J39" s="3">
        <v>0</v>
      </c>
      <c r="K39" s="3">
        <v>0.68</v>
      </c>
      <c r="L39" s="3">
        <v>1</v>
      </c>
      <c r="M39" s="3">
        <v>0</v>
      </c>
      <c r="N39" s="3">
        <v>10181.5</v>
      </c>
      <c r="O39" s="3">
        <v>87</v>
      </c>
      <c r="P39" s="3">
        <f t="shared" si="2"/>
        <v>-1</v>
      </c>
      <c r="Q39" s="3">
        <f t="shared" si="3"/>
        <v>1</v>
      </c>
    </row>
    <row r="40" spans="1:17">
      <c r="A40" s="3">
        <v>38</v>
      </c>
      <c r="B40" s="3">
        <v>85.4</v>
      </c>
      <c r="C40" s="3">
        <v>0.79</v>
      </c>
      <c r="D40" s="3">
        <v>1.41</v>
      </c>
      <c r="E40" s="3">
        <v>2.61</v>
      </c>
      <c r="F40" s="3">
        <v>7</v>
      </c>
      <c r="G40" s="3">
        <v>85.4</v>
      </c>
      <c r="H40" s="3">
        <v>0.68</v>
      </c>
      <c r="I40" s="3" t="s">
        <v>16</v>
      </c>
      <c r="J40" s="3">
        <v>0.04</v>
      </c>
      <c r="K40" s="3">
        <v>0.68</v>
      </c>
      <c r="L40" s="3">
        <v>1</v>
      </c>
      <c r="M40" s="3">
        <v>0</v>
      </c>
      <c r="N40" s="3">
        <v>9606.2999999999993</v>
      </c>
      <c r="O40" s="3">
        <v>87</v>
      </c>
      <c r="P40" s="3">
        <f t="shared" si="2"/>
        <v>-1.5999999999999943</v>
      </c>
      <c r="Q40" s="3">
        <f t="shared" si="3"/>
        <v>1.5999999999999943</v>
      </c>
    </row>
    <row r="41" spans="1:17">
      <c r="A41" s="3">
        <v>39</v>
      </c>
      <c r="B41" s="3">
        <v>85.6</v>
      </c>
      <c r="C41" s="3">
        <v>0.83</v>
      </c>
      <c r="D41" s="3">
        <v>1.44</v>
      </c>
      <c r="E41" s="3">
        <v>2.74</v>
      </c>
      <c r="F41" s="3">
        <v>7</v>
      </c>
      <c r="G41" s="3">
        <v>85.6</v>
      </c>
      <c r="H41" s="3">
        <v>0.76</v>
      </c>
      <c r="I41" s="3" t="s">
        <v>16</v>
      </c>
      <c r="J41" s="3">
        <v>0.13</v>
      </c>
      <c r="K41" s="3">
        <v>0.76</v>
      </c>
      <c r="L41" s="3">
        <v>1</v>
      </c>
      <c r="M41" s="3">
        <v>0</v>
      </c>
      <c r="N41" s="3">
        <v>8725.7999999999993</v>
      </c>
      <c r="O41" s="3">
        <v>87</v>
      </c>
      <c r="P41" s="3">
        <f t="shared" si="2"/>
        <v>-1.4000000000000057</v>
      </c>
      <c r="Q41" s="3">
        <f t="shared" si="3"/>
        <v>1.4000000000000057</v>
      </c>
    </row>
    <row r="42" spans="1:17">
      <c r="A42" s="3">
        <v>40</v>
      </c>
      <c r="B42" s="3">
        <v>86.6</v>
      </c>
      <c r="C42" s="3">
        <v>0.51</v>
      </c>
      <c r="D42" s="3">
        <v>1.4650000000000001</v>
      </c>
      <c r="E42" s="3">
        <v>2.17</v>
      </c>
      <c r="F42" s="3">
        <v>7</v>
      </c>
      <c r="G42" s="3">
        <v>86.6</v>
      </c>
      <c r="H42" s="3">
        <v>0.49</v>
      </c>
      <c r="I42" s="3" t="s">
        <v>16</v>
      </c>
      <c r="J42" s="3">
        <v>0.04</v>
      </c>
      <c r="K42" s="3">
        <v>0.49</v>
      </c>
      <c r="L42" s="3">
        <v>1</v>
      </c>
      <c r="M42" s="3">
        <v>0</v>
      </c>
      <c r="N42" s="3">
        <v>9629.9</v>
      </c>
      <c r="O42" s="3">
        <v>87</v>
      </c>
      <c r="P42" s="3">
        <f t="shared" si="2"/>
        <v>-0.40000000000000568</v>
      </c>
      <c r="Q42" s="3">
        <f t="shared" si="3"/>
        <v>0.40000000000000568</v>
      </c>
    </row>
    <row r="43" spans="1:17">
      <c r="A43" s="3">
        <v>41</v>
      </c>
      <c r="B43" s="3">
        <v>86.9</v>
      </c>
      <c r="C43" s="3">
        <v>0.38</v>
      </c>
      <c r="D43" s="3">
        <v>1.4650000000000001</v>
      </c>
      <c r="E43" s="3">
        <v>1.74</v>
      </c>
      <c r="F43" s="3">
        <v>7</v>
      </c>
      <c r="G43" s="3">
        <v>86.9</v>
      </c>
      <c r="H43" s="3">
        <v>0.34</v>
      </c>
      <c r="I43" s="3" t="s">
        <v>16</v>
      </c>
      <c r="J43" s="3">
        <v>0.11</v>
      </c>
      <c r="K43" s="3">
        <v>0.34</v>
      </c>
      <c r="L43" s="3">
        <v>1</v>
      </c>
      <c r="M43" s="3">
        <v>0</v>
      </c>
      <c r="N43" s="3">
        <v>8891</v>
      </c>
      <c r="O43" s="3">
        <v>87</v>
      </c>
      <c r="P43" s="3">
        <f t="shared" si="2"/>
        <v>-9.9999999999994316E-2</v>
      </c>
      <c r="Q43" s="3">
        <f t="shared" si="3"/>
        <v>9.9999999999994316E-2</v>
      </c>
    </row>
    <row r="44" spans="1:17">
      <c r="A44" s="3">
        <v>42</v>
      </c>
      <c r="B44" s="3">
        <v>86.4</v>
      </c>
      <c r="C44" s="3">
        <v>0.53</v>
      </c>
      <c r="D44" s="3">
        <v>1.427</v>
      </c>
      <c r="E44" s="3">
        <v>1.76</v>
      </c>
      <c r="F44" s="3">
        <v>7</v>
      </c>
      <c r="G44" s="3">
        <v>86.4</v>
      </c>
      <c r="H44" s="3">
        <v>0.49</v>
      </c>
      <c r="I44" s="3" t="s">
        <v>16</v>
      </c>
      <c r="J44" s="3">
        <v>0</v>
      </c>
      <c r="K44" s="3">
        <v>0.49</v>
      </c>
      <c r="L44" s="3">
        <v>1</v>
      </c>
      <c r="M44" s="3">
        <v>0</v>
      </c>
      <c r="N44" s="3">
        <v>10116.700000000001</v>
      </c>
      <c r="O44" s="3">
        <v>88</v>
      </c>
      <c r="P44" s="3">
        <f t="shared" si="2"/>
        <v>-1.5999999999999943</v>
      </c>
      <c r="Q44" s="3">
        <f t="shared" si="3"/>
        <v>1.5999999999999943</v>
      </c>
    </row>
    <row r="45" spans="1:17">
      <c r="A45" s="3">
        <v>43</v>
      </c>
      <c r="B45" s="3">
        <v>86.4</v>
      </c>
      <c r="C45" s="3">
        <v>0.56000000000000005</v>
      </c>
      <c r="D45" s="3">
        <v>1.4490000000000001</v>
      </c>
      <c r="E45" s="3">
        <v>1.83</v>
      </c>
      <c r="F45" s="3">
        <v>7</v>
      </c>
      <c r="G45" s="3">
        <v>86.4</v>
      </c>
      <c r="H45" s="3">
        <v>0.54</v>
      </c>
      <c r="I45" s="3" t="s">
        <v>16</v>
      </c>
      <c r="J45" s="3">
        <v>0</v>
      </c>
      <c r="K45" s="3">
        <v>0.54</v>
      </c>
      <c r="L45" s="3">
        <v>1</v>
      </c>
      <c r="M45" s="3">
        <v>0</v>
      </c>
      <c r="N45" s="3">
        <v>11698.7</v>
      </c>
      <c r="O45" s="3">
        <v>88</v>
      </c>
      <c r="P45" s="3">
        <f t="shared" si="2"/>
        <v>-1.5999999999999943</v>
      </c>
      <c r="Q45" s="3">
        <f t="shared" si="3"/>
        <v>1.5999999999999943</v>
      </c>
    </row>
    <row r="46" spans="1:17">
      <c r="A46" s="3">
        <v>44</v>
      </c>
      <c r="B46" s="3">
        <v>86.8</v>
      </c>
      <c r="C46" s="3">
        <v>0.36</v>
      </c>
      <c r="D46" s="3">
        <v>1.4650000000000001</v>
      </c>
      <c r="E46" s="3">
        <v>1.67</v>
      </c>
      <c r="F46" s="3">
        <v>7</v>
      </c>
      <c r="G46" s="3">
        <v>86.8</v>
      </c>
      <c r="H46" s="3">
        <v>0.35</v>
      </c>
      <c r="I46" s="3" t="s">
        <v>16</v>
      </c>
      <c r="J46" s="3">
        <v>0.05</v>
      </c>
      <c r="K46" s="3">
        <v>0.35</v>
      </c>
      <c r="L46" s="3">
        <v>1</v>
      </c>
      <c r="M46" s="3">
        <v>0</v>
      </c>
      <c r="N46" s="3">
        <v>9526.7999999999993</v>
      </c>
      <c r="O46" s="3">
        <v>88</v>
      </c>
      <c r="P46" s="3">
        <f t="shared" si="2"/>
        <v>-1.2000000000000028</v>
      </c>
      <c r="Q46" s="3">
        <f t="shared" si="3"/>
        <v>1.2000000000000028</v>
      </c>
    </row>
    <row r="47" spans="1:17">
      <c r="A47" s="3">
        <v>45</v>
      </c>
      <c r="B47" s="3">
        <v>86.8</v>
      </c>
      <c r="C47" s="3">
        <v>0.3</v>
      </c>
      <c r="D47" s="3">
        <v>1.4650000000000001</v>
      </c>
      <c r="E47" s="3">
        <v>1.48</v>
      </c>
      <c r="F47" s="3">
        <v>7</v>
      </c>
      <c r="G47" s="3">
        <v>86.4</v>
      </c>
      <c r="H47" s="3">
        <v>0</v>
      </c>
      <c r="I47" s="3" t="s">
        <v>17</v>
      </c>
      <c r="J47" s="3">
        <v>0.11</v>
      </c>
      <c r="K47" s="3">
        <v>0.28000000000000003</v>
      </c>
      <c r="L47" s="3">
        <v>1</v>
      </c>
      <c r="M47" s="3">
        <v>1</v>
      </c>
      <c r="N47" s="3">
        <v>8941</v>
      </c>
      <c r="O47" s="3">
        <v>88</v>
      </c>
      <c r="P47" s="3">
        <f t="shared" si="2"/>
        <v>-1.5999999999999943</v>
      </c>
      <c r="Q47" s="3">
        <f t="shared" si="3"/>
        <v>1.5999999999999943</v>
      </c>
    </row>
    <row r="48" spans="1:17">
      <c r="A48" s="3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86.4</v>
      </c>
      <c r="H48" s="3">
        <v>0</v>
      </c>
      <c r="I48" s="3" t="s">
        <v>17</v>
      </c>
      <c r="J48" s="3">
        <v>0.13</v>
      </c>
      <c r="K48" s="3">
        <v>0</v>
      </c>
      <c r="L48" s="3">
        <v>1</v>
      </c>
      <c r="M48" s="3">
        <v>1</v>
      </c>
      <c r="N48" s="3">
        <v>8717.9</v>
      </c>
      <c r="O48" s="3">
        <v>88</v>
      </c>
      <c r="P48" s="3">
        <f t="shared" si="2"/>
        <v>-1.5999999999999943</v>
      </c>
      <c r="Q48" s="3">
        <f t="shared" si="3"/>
        <v>1.5999999999999943</v>
      </c>
    </row>
    <row r="49" spans="1:17">
      <c r="A49" s="3">
        <v>47</v>
      </c>
      <c r="B49" s="3">
        <v>86.8</v>
      </c>
      <c r="C49" s="3">
        <v>0.28000000000000003</v>
      </c>
      <c r="D49" s="3">
        <v>1.4650000000000001</v>
      </c>
      <c r="E49" s="3">
        <v>1.39</v>
      </c>
      <c r="F49" s="3">
        <v>7</v>
      </c>
      <c r="G49" s="3">
        <v>86.4</v>
      </c>
      <c r="H49" s="3">
        <v>0</v>
      </c>
      <c r="I49" s="3" t="s">
        <v>17</v>
      </c>
      <c r="J49" s="3">
        <v>0.21</v>
      </c>
      <c r="K49" s="3">
        <v>0.27</v>
      </c>
      <c r="L49" s="3">
        <v>1</v>
      </c>
      <c r="M49" s="3">
        <v>1</v>
      </c>
      <c r="N49" s="3">
        <v>7872.1</v>
      </c>
      <c r="O49" s="3">
        <v>88</v>
      </c>
      <c r="P49" s="3">
        <f t="shared" si="2"/>
        <v>-1.5999999999999943</v>
      </c>
      <c r="Q49" s="3">
        <f t="shared" si="3"/>
        <v>1.5999999999999943</v>
      </c>
    </row>
    <row r="50" spans="1:17">
      <c r="A50" s="3">
        <v>48</v>
      </c>
      <c r="B50" s="3">
        <v>86.8</v>
      </c>
      <c r="C50" s="3">
        <v>0.36</v>
      </c>
      <c r="D50" s="3">
        <v>1.4650000000000001</v>
      </c>
      <c r="E50" s="3">
        <v>1.66</v>
      </c>
      <c r="F50" s="3">
        <v>7</v>
      </c>
      <c r="G50" s="3">
        <v>86.8</v>
      </c>
      <c r="H50" s="3">
        <v>0.35</v>
      </c>
      <c r="I50" s="3" t="s">
        <v>16</v>
      </c>
      <c r="J50" s="3">
        <v>0.23</v>
      </c>
      <c r="K50" s="3">
        <v>0.35</v>
      </c>
      <c r="L50" s="3">
        <v>1</v>
      </c>
      <c r="M50" s="3">
        <v>0</v>
      </c>
      <c r="N50" s="3">
        <v>7701.4</v>
      </c>
      <c r="O50" s="3">
        <v>87</v>
      </c>
      <c r="P50" s="3">
        <f t="shared" si="2"/>
        <v>-0.20000000000000284</v>
      </c>
      <c r="Q50" s="3">
        <f t="shared" si="3"/>
        <v>0.20000000000000284</v>
      </c>
    </row>
    <row r="51" spans="1:17">
      <c r="A51" s="3">
        <v>49</v>
      </c>
      <c r="B51" s="3">
        <v>85.8</v>
      </c>
      <c r="C51" s="3">
        <v>0.49</v>
      </c>
      <c r="D51" s="3">
        <v>1.401</v>
      </c>
      <c r="E51" s="3">
        <v>1.59</v>
      </c>
      <c r="F51" s="3">
        <v>7</v>
      </c>
      <c r="G51" s="3">
        <v>86.4</v>
      </c>
      <c r="H51" s="3">
        <v>0</v>
      </c>
      <c r="I51" s="3" t="s">
        <v>17</v>
      </c>
      <c r="J51" s="3">
        <v>0.19</v>
      </c>
      <c r="K51" s="3">
        <v>0.49</v>
      </c>
      <c r="L51" s="3">
        <v>1</v>
      </c>
      <c r="M51" s="3">
        <v>1</v>
      </c>
      <c r="N51" s="3">
        <v>8079.1</v>
      </c>
      <c r="O51" s="3">
        <v>87</v>
      </c>
      <c r="P51" s="3">
        <f t="shared" ref="P51:P61" si="4">G51-O51</f>
        <v>-0.59999999999999432</v>
      </c>
      <c r="Q51" s="3">
        <f t="shared" ref="Q51:Q61" si="5">ABS(P51)</f>
        <v>0.59999999999999432</v>
      </c>
    </row>
    <row r="52" spans="1:17">
      <c r="A52" s="3">
        <v>50</v>
      </c>
      <c r="B52" s="3">
        <v>84.9</v>
      </c>
      <c r="C52" s="3">
        <v>0.43</v>
      </c>
      <c r="D52" s="3">
        <v>1.3420000000000001</v>
      </c>
      <c r="E52" s="3">
        <v>1.39</v>
      </c>
      <c r="F52" s="3">
        <v>7</v>
      </c>
      <c r="G52" s="3">
        <v>86.4</v>
      </c>
      <c r="H52" s="3">
        <v>0</v>
      </c>
      <c r="I52" s="3" t="s">
        <v>17</v>
      </c>
      <c r="J52" s="3">
        <v>0.17</v>
      </c>
      <c r="K52" s="3">
        <v>0.37</v>
      </c>
      <c r="L52" s="3">
        <v>1</v>
      </c>
      <c r="M52" s="3">
        <v>1</v>
      </c>
      <c r="N52" s="3">
        <v>8292.4</v>
      </c>
      <c r="O52" s="3">
        <v>84</v>
      </c>
      <c r="P52" s="3">
        <f t="shared" si="4"/>
        <v>2.4000000000000057</v>
      </c>
      <c r="Q52" s="3">
        <f t="shared" si="5"/>
        <v>2.4000000000000057</v>
      </c>
    </row>
    <row r="53" spans="1:17">
      <c r="A53" s="3">
        <v>51</v>
      </c>
      <c r="B53" s="3">
        <v>85.6</v>
      </c>
      <c r="C53" s="3">
        <v>0.43</v>
      </c>
      <c r="D53" s="3">
        <v>1.389</v>
      </c>
      <c r="E53" s="3">
        <v>1.41</v>
      </c>
      <c r="F53" s="3">
        <v>7</v>
      </c>
      <c r="G53" s="3">
        <v>86.4</v>
      </c>
      <c r="H53" s="3">
        <v>0</v>
      </c>
      <c r="I53" s="3" t="s">
        <v>17</v>
      </c>
      <c r="J53" s="3">
        <v>0.17</v>
      </c>
      <c r="K53" s="3">
        <v>0.43</v>
      </c>
      <c r="L53" s="3">
        <v>1</v>
      </c>
      <c r="M53" s="3">
        <v>1</v>
      </c>
      <c r="N53" s="3">
        <v>8308.4</v>
      </c>
      <c r="O53" s="3">
        <v>84</v>
      </c>
      <c r="P53" s="3">
        <f t="shared" si="4"/>
        <v>2.4000000000000057</v>
      </c>
      <c r="Q53" s="3">
        <f t="shared" si="5"/>
        <v>2.4000000000000057</v>
      </c>
    </row>
    <row r="54" spans="1:17">
      <c r="A54" s="3">
        <v>52</v>
      </c>
      <c r="B54" s="3">
        <v>85.8</v>
      </c>
      <c r="C54" s="3">
        <v>0.43</v>
      </c>
      <c r="D54" s="3">
        <v>1.399</v>
      </c>
      <c r="E54" s="3">
        <v>1.39</v>
      </c>
      <c r="F54" s="3">
        <v>7</v>
      </c>
      <c r="G54" s="3">
        <v>86.4</v>
      </c>
      <c r="H54" s="3">
        <v>0</v>
      </c>
      <c r="I54" s="3" t="s">
        <v>17</v>
      </c>
      <c r="J54" s="3">
        <v>0.12</v>
      </c>
      <c r="K54" s="3">
        <v>0.4</v>
      </c>
      <c r="L54" s="3">
        <v>1</v>
      </c>
      <c r="M54" s="3">
        <v>1</v>
      </c>
      <c r="N54" s="3">
        <v>8847.1</v>
      </c>
      <c r="O54" s="3">
        <v>84</v>
      </c>
      <c r="P54" s="3">
        <f t="shared" si="4"/>
        <v>2.4000000000000057</v>
      </c>
      <c r="Q54" s="3">
        <f t="shared" si="5"/>
        <v>2.4000000000000057</v>
      </c>
    </row>
    <row r="55" spans="1:17">
      <c r="A55" s="3">
        <v>53</v>
      </c>
      <c r="B55" s="3">
        <v>86.3</v>
      </c>
      <c r="C55" s="3">
        <v>0.46</v>
      </c>
      <c r="D55" s="3">
        <v>1.4319999999999999</v>
      </c>
      <c r="E55" s="3">
        <v>1.49</v>
      </c>
      <c r="F55" s="3">
        <v>7</v>
      </c>
      <c r="G55" s="3">
        <v>86.4</v>
      </c>
      <c r="H55" s="3">
        <v>0</v>
      </c>
      <c r="I55" s="3" t="s">
        <v>17</v>
      </c>
      <c r="J55" s="3">
        <v>0.01</v>
      </c>
      <c r="K55" s="3">
        <v>0.44</v>
      </c>
      <c r="L55" s="3">
        <v>1</v>
      </c>
      <c r="M55" s="3">
        <v>1</v>
      </c>
      <c r="N55" s="3">
        <v>9919.2999999999993</v>
      </c>
      <c r="O55" s="3">
        <v>84</v>
      </c>
      <c r="P55" s="3">
        <f t="shared" si="4"/>
        <v>2.4000000000000057</v>
      </c>
      <c r="Q55" s="3">
        <f t="shared" si="5"/>
        <v>2.4000000000000057</v>
      </c>
    </row>
    <row r="56" spans="1:17">
      <c r="A56" s="3">
        <v>54</v>
      </c>
      <c r="B56" s="3">
        <v>86.6</v>
      </c>
      <c r="C56" s="3">
        <v>0.56999999999999995</v>
      </c>
      <c r="D56" s="3">
        <v>1.4490000000000001</v>
      </c>
      <c r="E56" s="3">
        <v>1.86</v>
      </c>
      <c r="F56" s="3">
        <v>7</v>
      </c>
      <c r="G56" s="3">
        <v>86.6</v>
      </c>
      <c r="H56" s="3">
        <v>0.56999999999999995</v>
      </c>
      <c r="I56" s="3" t="s">
        <v>16</v>
      </c>
      <c r="J56" s="3">
        <v>0</v>
      </c>
      <c r="K56" s="3">
        <v>0.56999999999999995</v>
      </c>
      <c r="L56" s="3">
        <v>1</v>
      </c>
      <c r="M56" s="3">
        <v>0</v>
      </c>
      <c r="N56" s="3">
        <v>10127.1</v>
      </c>
      <c r="O56" s="3">
        <v>85</v>
      </c>
      <c r="P56" s="3">
        <f t="shared" si="4"/>
        <v>1.5999999999999943</v>
      </c>
      <c r="Q56" s="3">
        <f t="shared" si="5"/>
        <v>1.5999999999999943</v>
      </c>
    </row>
    <row r="57" spans="1:17">
      <c r="A57" s="3">
        <v>55</v>
      </c>
      <c r="B57" s="3">
        <v>86.3</v>
      </c>
      <c r="C57" s="3">
        <v>0.71</v>
      </c>
      <c r="D57" s="3">
        <v>1.425</v>
      </c>
      <c r="E57" s="3">
        <v>2.33</v>
      </c>
      <c r="F57" s="3">
        <v>7</v>
      </c>
      <c r="G57" s="3">
        <v>86.3</v>
      </c>
      <c r="H57" s="3">
        <v>0.7</v>
      </c>
      <c r="I57" s="3" t="s">
        <v>16</v>
      </c>
      <c r="J57" s="3">
        <v>0</v>
      </c>
      <c r="K57" s="3">
        <v>0.7</v>
      </c>
      <c r="L57" s="3">
        <v>1</v>
      </c>
      <c r="M57" s="3">
        <v>0</v>
      </c>
      <c r="N57" s="3">
        <v>10602.6</v>
      </c>
      <c r="O57" s="3">
        <v>85</v>
      </c>
      <c r="P57" s="3">
        <f t="shared" si="4"/>
        <v>1.2999999999999972</v>
      </c>
      <c r="Q57" s="3">
        <f t="shared" si="5"/>
        <v>1.2999999999999972</v>
      </c>
    </row>
    <row r="58" spans="1:17">
      <c r="A58" s="3">
        <v>56</v>
      </c>
      <c r="B58" s="3">
        <v>85.7</v>
      </c>
      <c r="C58" s="3">
        <v>0.8</v>
      </c>
      <c r="D58" s="3">
        <v>1.4139999999999999</v>
      </c>
      <c r="E58" s="3">
        <v>2.64</v>
      </c>
      <c r="F58" s="3">
        <v>7</v>
      </c>
      <c r="G58" s="3">
        <v>85.7</v>
      </c>
      <c r="H58" s="3">
        <v>0.56000000000000005</v>
      </c>
      <c r="I58" s="3" t="s">
        <v>16</v>
      </c>
      <c r="J58" s="3">
        <v>0.06</v>
      </c>
      <c r="K58" s="3">
        <v>0.56000000000000005</v>
      </c>
      <c r="L58" s="3">
        <v>1</v>
      </c>
      <c r="M58" s="3">
        <v>0</v>
      </c>
      <c r="N58" s="3">
        <v>9366.4</v>
      </c>
      <c r="O58" s="3">
        <v>85</v>
      </c>
      <c r="P58" s="3">
        <f t="shared" si="4"/>
        <v>0.70000000000000284</v>
      </c>
      <c r="Q58" s="3">
        <f t="shared" si="5"/>
        <v>0.70000000000000284</v>
      </c>
    </row>
    <row r="59" spans="1:17">
      <c r="A59" s="3">
        <v>57</v>
      </c>
      <c r="B59" s="3">
        <v>85.1</v>
      </c>
      <c r="C59" s="3">
        <v>0.81</v>
      </c>
      <c r="D59" s="3">
        <v>1.4019999999999999</v>
      </c>
      <c r="E59" s="3">
        <v>2.66</v>
      </c>
      <c r="F59" s="3">
        <v>7</v>
      </c>
      <c r="G59" s="3">
        <v>85.1</v>
      </c>
      <c r="H59" s="3">
        <v>0.56000000000000005</v>
      </c>
      <c r="I59" s="3" t="s">
        <v>16</v>
      </c>
      <c r="J59" s="3">
        <v>0.02</v>
      </c>
      <c r="K59" s="3">
        <v>0.56000000000000005</v>
      </c>
      <c r="L59" s="3">
        <v>1</v>
      </c>
      <c r="M59" s="3">
        <v>0</v>
      </c>
      <c r="N59" s="3">
        <v>9836.7999999999993</v>
      </c>
      <c r="O59" s="3">
        <v>85</v>
      </c>
      <c r="P59" s="3">
        <f t="shared" si="4"/>
        <v>9.9999999999994316E-2</v>
      </c>
      <c r="Q59" s="3">
        <f t="shared" si="5"/>
        <v>9.9999999999994316E-2</v>
      </c>
    </row>
    <row r="60" spans="1:17">
      <c r="A60" s="3">
        <v>58</v>
      </c>
      <c r="B60" s="3">
        <v>85</v>
      </c>
      <c r="C60" s="3">
        <v>0.53</v>
      </c>
      <c r="D60" s="3">
        <v>1.4259999999999999</v>
      </c>
      <c r="E60" s="3">
        <v>1.73</v>
      </c>
      <c r="F60" s="3">
        <v>7</v>
      </c>
      <c r="G60" s="3">
        <v>85</v>
      </c>
      <c r="H60" s="3">
        <v>0.49</v>
      </c>
      <c r="I60" s="3" t="s">
        <v>16</v>
      </c>
      <c r="J60" s="3">
        <v>0.03</v>
      </c>
      <c r="K60" s="3">
        <v>0.49</v>
      </c>
      <c r="L60" s="3">
        <v>1</v>
      </c>
      <c r="M60" s="3">
        <v>0</v>
      </c>
      <c r="N60" s="3">
        <v>9652.2000000000007</v>
      </c>
      <c r="O60" s="3">
        <v>84</v>
      </c>
      <c r="P60" s="3">
        <f t="shared" si="4"/>
        <v>1</v>
      </c>
      <c r="Q60" s="3">
        <f t="shared" si="5"/>
        <v>1</v>
      </c>
    </row>
    <row r="61" spans="1:17">
      <c r="A61" s="3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85.1</v>
      </c>
      <c r="H61" s="3">
        <v>0</v>
      </c>
      <c r="I61" s="3" t="s">
        <v>17</v>
      </c>
      <c r="J61" s="3">
        <v>0.15</v>
      </c>
      <c r="K61" s="3">
        <v>0</v>
      </c>
      <c r="L61" s="3">
        <v>1</v>
      </c>
      <c r="M61" s="3">
        <v>1</v>
      </c>
      <c r="N61" s="3">
        <v>8500.4</v>
      </c>
      <c r="O61" s="3">
        <v>84</v>
      </c>
      <c r="P61" s="3">
        <f t="shared" si="4"/>
        <v>1.0999999999999943</v>
      </c>
      <c r="Q61" s="3">
        <f t="shared" si="5"/>
        <v>1.0999999999999943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topLeftCell="A3" workbookViewId="0">
      <selection activeCell="A16" sqref="A16:D16"/>
    </sheetView>
  </sheetViews>
  <sheetFormatPr defaultRowHeight="14"/>
  <cols>
    <col min="1" max="1" width="18" customWidth="1"/>
    <col min="2" max="2" width="16" customWidth="1"/>
    <col min="3" max="3" width="10" customWidth="1"/>
    <col min="4" max="4" width="48" customWidth="1"/>
  </cols>
  <sheetData>
    <row r="1" spans="1:7" ht="18.649999999999999" customHeight="1">
      <c r="A1" s="17" t="s">
        <v>18</v>
      </c>
      <c r="B1" s="18"/>
      <c r="C1" s="18"/>
      <c r="D1" s="18"/>
    </row>
    <row r="3" spans="1:7">
      <c r="A3" s="4" t="s">
        <v>19</v>
      </c>
      <c r="B3" s="5" t="s">
        <v>20</v>
      </c>
      <c r="C3" s="5" t="s">
        <v>21</v>
      </c>
      <c r="D3" s="6" t="s">
        <v>22</v>
      </c>
      <c r="F3" s="1" t="s">
        <v>19</v>
      </c>
      <c r="G3" s="1" t="s">
        <v>23</v>
      </c>
    </row>
    <row r="4" spans="1:7">
      <c r="A4" s="7" t="s">
        <v>24</v>
      </c>
      <c r="B4" s="13">
        <f>COUNT(Data!G2:G61)</f>
        <v>60</v>
      </c>
      <c r="C4" s="8" t="s">
        <v>25</v>
      </c>
      <c r="D4" s="11" t="s">
        <v>26</v>
      </c>
      <c r="F4" t="s">
        <v>27</v>
      </c>
      <c r="G4">
        <f>B5</f>
        <v>1.1933333333333329</v>
      </c>
    </row>
    <row r="5" spans="1:7">
      <c r="A5" s="7" t="s">
        <v>27</v>
      </c>
      <c r="B5" s="13">
        <f>AVERAGE(Data!Q2:Q61)</f>
        <v>1.1933333333333329</v>
      </c>
      <c r="C5" s="8" t="s">
        <v>28</v>
      </c>
      <c r="D5" s="11" t="s">
        <v>29</v>
      </c>
      <c r="F5" t="s">
        <v>30</v>
      </c>
      <c r="G5">
        <f>B6</f>
        <v>1.4110279940525638</v>
      </c>
    </row>
    <row r="6" spans="1:7">
      <c r="A6" s="7" t="s">
        <v>30</v>
      </c>
      <c r="B6" s="13">
        <f>SQRT(SUMSQ(Data!P2:P61)/COUNT(Data!P2:P61))</f>
        <v>1.4110279940525638</v>
      </c>
      <c r="C6" s="8" t="s">
        <v>28</v>
      </c>
      <c r="D6" s="11" t="s">
        <v>31</v>
      </c>
      <c r="F6" t="s">
        <v>32</v>
      </c>
      <c r="G6">
        <f>B7</f>
        <v>3.2000000000000028</v>
      </c>
    </row>
    <row r="7" spans="1:7">
      <c r="A7" s="7" t="s">
        <v>32</v>
      </c>
      <c r="B7" s="13">
        <f>MAX(Data!Q2:Q61)</f>
        <v>3.2000000000000028</v>
      </c>
      <c r="C7" s="8" t="s">
        <v>28</v>
      </c>
      <c r="D7" s="11" t="s">
        <v>33</v>
      </c>
    </row>
    <row r="8" spans="1:7">
      <c r="A8" s="7" t="s">
        <v>34</v>
      </c>
      <c r="B8" s="13">
        <f>STDEV(Data!G2:G61)</f>
        <v>2.4398782038695113</v>
      </c>
      <c r="C8" s="8" t="s">
        <v>28</v>
      </c>
      <c r="D8" s="11" t="s">
        <v>35</v>
      </c>
    </row>
    <row r="9" spans="1:7">
      <c r="A9" s="7" t="s">
        <v>36</v>
      </c>
      <c r="B9" s="15">
        <f>COUNTIF(Data!I2:I61,"HOLD")/COUNTA(Data!I2:I61)</f>
        <v>0.18333333333333332</v>
      </c>
      <c r="C9" s="8" t="s">
        <v>37</v>
      </c>
      <c r="D9" s="11" t="s">
        <v>38</v>
      </c>
    </row>
    <row r="10" spans="1:7">
      <c r="A10" s="7" t="s">
        <v>39</v>
      </c>
      <c r="B10" s="13">
        <f>AVERAGE(Data!H2:H61)</f>
        <v>0.47333333333333333</v>
      </c>
      <c r="C10" s="8" t="s">
        <v>40</v>
      </c>
      <c r="D10" s="11" t="s">
        <v>41</v>
      </c>
    </row>
    <row r="11" spans="1:7">
      <c r="A11" s="7" t="s">
        <v>42</v>
      </c>
      <c r="B11" s="13">
        <f>AVERAGE(Data!O2:O61)</f>
        <v>87.1</v>
      </c>
      <c r="C11" s="8" t="s">
        <v>28</v>
      </c>
      <c r="D11" s="11" t="s">
        <v>43</v>
      </c>
    </row>
    <row r="12" spans="1:7">
      <c r="A12" s="9" t="s">
        <v>44</v>
      </c>
      <c r="B12" s="14">
        <f>AVERAGE(Data!G2:G61)</f>
        <v>87.523333333333326</v>
      </c>
      <c r="C12" s="10" t="s">
        <v>28</v>
      </c>
      <c r="D12" s="12" t="s">
        <v>45</v>
      </c>
    </row>
    <row r="15" spans="1:7">
      <c r="A15" s="16" t="s">
        <v>46</v>
      </c>
    </row>
    <row r="16" spans="1:7">
      <c r="A16" s="19" t="s">
        <v>49</v>
      </c>
      <c r="B16" s="19"/>
      <c r="C16" s="19"/>
      <c r="D16" s="19"/>
    </row>
    <row r="17" spans="1:4">
      <c r="A17" s="19" t="s">
        <v>47</v>
      </c>
      <c r="B17" s="19"/>
      <c r="C17" s="19"/>
      <c r="D17" s="19"/>
    </row>
  </sheetData>
  <mergeCells count="3">
    <mergeCell ref="A1:D1"/>
    <mergeCell ref="A16:D16"/>
    <mergeCell ref="A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Jehyung Han</cp:lastModifiedBy>
  <dcterms:modified xsi:type="dcterms:W3CDTF">2026-06-15T18:57:01Z</dcterms:modified>
</cp:coreProperties>
</file>